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derwriting" sheetId="1" state="visible" r:id="rId3"/>
    <sheet name="long_term_ROI" sheetId="2" state="visible" r:id="rId4"/>
    <sheet name="amortiza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<sst xmlns="http://schemas.openxmlformats.org/spreadsheetml/2006/main" count="145" uniqueCount="136">
  <si>
    <t xml:space="preserve">STR INVESTMENT UNDERWRITING</t>
  </si>
  <si>
    <t xml:space="preserve">Address:</t>
  </si>
  <si>
    <t xml:space="preserve">{{address}}</t>
  </si>
  <si>
    <t xml:space="preserve">Assumption</t>
  </si>
  <si>
    <t xml:space="preserve">Low</t>
  </si>
  <si>
    <t xml:space="preserve">Mid</t>
  </si>
  <si>
    <t xml:space="preserve">High</t>
  </si>
  <si>
    <t xml:space="preserve">HOLDING COSTS</t>
  </si>
  <si>
    <t xml:space="preserve">Monthly</t>
  </si>
  <si>
    <t xml:space="preserve">Yearly</t>
  </si>
  <si>
    <t xml:space="preserve">PROPERTY INFO</t>
  </si>
  <si>
    <t xml:space="preserve">Internet</t>
  </si>
  <si>
    <t xml:space="preserve">Bedrooms</t>
  </si>
  <si>
    <t xml:space="preserve">Water</t>
  </si>
  <si>
    <t xml:space="preserve">Bathrooms</t>
  </si>
  <si>
    <t xml:space="preserve">Electricity</t>
  </si>
  <si>
    <t xml:space="preserve">Square Footage</t>
  </si>
  <si>
    <t xml:space="preserve">Natural Gas</t>
  </si>
  <si>
    <t xml:space="preserve">Market</t>
  </si>
  <si>
    <t xml:space="preserve">{{market}}</t>
  </si>
  <si>
    <t xml:space="preserve">Pest Control</t>
  </si>
  <si>
    <t xml:space="preserve">Pool Maintenance</t>
  </si>
  <si>
    <t xml:space="preserve">PURCHASE DETAILS &amp; FINANCING</t>
  </si>
  <si>
    <t xml:space="preserve">Outdoor / Landscaping</t>
  </si>
  <si>
    <t xml:space="preserve">Purchase Price</t>
  </si>
  <si>
    <t xml:space="preserve">Garbage</t>
  </si>
  <si>
    <t xml:space="preserve">Down Payment</t>
  </si>
  <si>
    <t xml:space="preserve">Supplies</t>
  </si>
  <si>
    <t xml:space="preserve">Loan Amount</t>
  </si>
  <si>
    <t xml:space="preserve">Cleaning</t>
  </si>
  <si>
    <t xml:space="preserve">Interest Rate</t>
  </si>
  <si>
    <t xml:space="preserve">Property Taxes</t>
  </si>
  <si>
    <t xml:space="preserve">Loan Term (Yrs)</t>
  </si>
  <si>
    <t xml:space="preserve">Home Insurance</t>
  </si>
  <si>
    <t xml:space="preserve">Loan Type</t>
  </si>
  <si>
    <t xml:space="preserve">conventional</t>
  </si>
  <si>
    <t xml:space="preserve">Mortgage</t>
  </si>
  <si>
    <t xml:space="preserve">Closing Costs</t>
  </si>
  <si>
    <t xml:space="preserve">Total Holding Costs</t>
  </si>
  <si>
    <t xml:space="preserve">Mortgage Insurance (Annual)</t>
  </si>
  <si>
    <t xml:space="preserve">Monthly Payment</t>
  </si>
  <si>
    <t xml:space="preserve">Annual Debt Service</t>
  </si>
  <si>
    <t xml:space="preserve">Year 1 Principal Paydown</t>
  </si>
  <si>
    <t xml:space="preserve">SET UP COSTS</t>
  </si>
  <si>
    <t xml:space="preserve">Renovation / Amenities / Furniture</t>
  </si>
  <si>
    <t xml:space="preserve">Other</t>
  </si>
  <si>
    <t xml:space="preserve">Total Set Up</t>
  </si>
  <si>
    <t xml:space="preserve">TOTAL CASH TO CLOSE</t>
  </si>
  <si>
    <t xml:space="preserve">REVENUE ESTIMATE</t>
  </si>
  <si>
    <t xml:space="preserve">Average Daily Rate (ADR)</t>
  </si>
  <si>
    <t xml:space="preserve">Occupancy Rate</t>
  </si>
  <si>
    <t xml:space="preserve">Gross Annual Revenue</t>
  </si>
  <si>
    <t xml:space="preserve">Avg Stay (Nights)</t>
  </si>
  <si>
    <t xml:space="preserve">Est. Annual Turns</t>
  </si>
  <si>
    <t xml:space="preserve">Data Source / Confidence</t>
  </si>
  <si>
    <t xml:space="preserve">{{data_source}}</t>
  </si>
  <si>
    <t xml:space="preserve">OPERATING EXPENSES</t>
  </si>
  <si>
    <t xml:space="preserve">Platform Fees (% of revenue)</t>
  </si>
  <si>
    <t xml:space="preserve">Property Management (% of revenue)</t>
  </si>
  <si>
    <t xml:space="preserve">Cleaning (per turn × turns, by beds)</t>
  </si>
  <si>
    <t xml:space="preserve">Supplies — Annual (by beds)</t>
  </si>
  <si>
    <t xml:space="preserve">Utilities (Monthly)</t>
  </si>
  <si>
    <t xml:space="preserve">Insurance (Annual)</t>
  </si>
  <si>
    <t xml:space="preserve">Property Tax — from Zillow listing</t>
  </si>
  <si>
    <t xml:space="preserve">from listing</t>
  </si>
  <si>
    <t xml:space="preserve">Maintenance Reserve — Annual (by beds)</t>
  </si>
  <si>
    <t xml:space="preserve">Lawn / Snow (Monthly)</t>
  </si>
  <si>
    <t xml:space="preserve">Pest Control (Annual)</t>
  </si>
  <si>
    <t xml:space="preserve">Hot Tub / Pool (Monthly)</t>
  </si>
  <si>
    <t xml:space="preserve">Software (Monthly)</t>
  </si>
  <si>
    <t xml:space="preserve">Permits &amp; Licenses (Annual)</t>
  </si>
  <si>
    <t xml:space="preserve">Total Operating Expenses</t>
  </si>
  <si>
    <t xml:space="preserve">OpEx Ratio</t>
  </si>
  <si>
    <t xml:space="preserve">INCOME STATEMENT</t>
  </si>
  <si>
    <t xml:space="preserve">Gross Revenue</t>
  </si>
  <si>
    <t xml:space="preserve">Net Operating Income (NOI)</t>
  </si>
  <si>
    <t xml:space="preserve">Free Cash Flow (Annual)</t>
  </si>
  <si>
    <t xml:space="preserve">Monthly Cash Flow (Avg)</t>
  </si>
  <si>
    <t xml:space="preserve">Cash-on-Cash Return</t>
  </si>
  <si>
    <t xml:space="preserve">Gross Yield</t>
  </si>
  <si>
    <t xml:space="preserve">Rating (based on Mid CoC)</t>
  </si>
  <si>
    <t xml:space="preserve">TAX &amp; DEPRECIATION  (Federal Only — CA does not conform)</t>
  </si>
  <si>
    <t xml:space="preserve">Depreciable Basis (excl. land @ 20%)</t>
  </si>
  <si>
    <t xml:space="preserve">  Personal Property (25%) — 5-yr MACRS</t>
  </si>
  <si>
    <t xml:space="preserve">  Land Improvements (15%) — 15-yr MACRS</t>
  </si>
  <si>
    <t xml:space="preserve">  Building (40%) — 39-yr Straight Line</t>
  </si>
  <si>
    <t xml:space="preserve">Bonus Depreciation Rate (2026: 20%)</t>
  </si>
  <si>
    <t xml:space="preserve">Year 1 Bonus Depreciation (5-yr + 15-yr components)</t>
  </si>
  <si>
    <t xml:space="preserve">Straight-Line Depreciation — Building (Annual)</t>
  </si>
  <si>
    <t xml:space="preserve">Total Year 1 Depreciation Deduction</t>
  </si>
  <si>
    <t xml:space="preserve">Federal Tax Rate</t>
  </si>
  <si>
    <t xml:space="preserve">Federal Tax Savings — Year 1</t>
  </si>
  <si>
    <t xml:space="preserve">Note: No CA state tax savings modeled — CA does not allow STR losses to offset state income.</t>
  </si>
  <si>
    <t xml:space="preserve">TOTAL RETURN SUMMARY — YEAR 1  (Hold Forever, No Planned Exit)</t>
  </si>
  <si>
    <t xml:space="preserve">Net Cash Flow</t>
  </si>
  <si>
    <t xml:space="preserve">Federal Tax Savings (Depreciation)</t>
  </si>
  <si>
    <t xml:space="preserve">Appreciation (0% conservative baseline)</t>
  </si>
  <si>
    <t xml:space="preserve">Mortgage Paydown — Principal (Year 1)</t>
  </si>
  <si>
    <t xml:space="preserve">Total Return — Year 1 ($)</t>
  </si>
  <si>
    <t xml:space="preserve">Total Return % (of Cash Invested)</t>
  </si>
  <si>
    <t xml:space="preserve">STR LONG-TERM ROI — 10-YEAR HOLD (Mid Scenario)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</si>
  <si>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</si>
  <si>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</si>
  <si>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</si>
  <si>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</si>
  <si>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</si>
  <si>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</si>
  <si>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</si>
  <si>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Year 8</t>
  </si>
  <si>
    <t xml:space="preserve">Year 9</t>
  </si>
  <si>
    <t xml:space="preserve">Year 10</t>
  </si>
  <si>
    <t xml:space="preserve">ASSUMPTIONS</t>
  </si>
  <si>
    <t xml:space="preserve">Annual Cash Flow (Mid)</t>
  </si>
  <si>
    <t xml:space="preserve">Federal Tax Savings (Yr 1 bonus, then SL)</t>
  </si>
  <si>
    <t xml:space="preserve">Appreciation Rate</t>
  </si>
  <si>
    <t xml:space="preserve">CUMULATIVE RETURN COMPONENTS (Mid Scenario)</t>
  </si>
  <si>
    <t xml:space="preserve">Annual Cash Flow</t>
  </si>
  <si>
    <t xml:space="preserve">Cumulative Cash Flow</t>
  </si>
  <si>
    <t xml:space="preserve">Annual Tax Savings</t>
  </si>
  <si>
    <t xml:space="preserve">Cumulative Tax Savings</t>
  </si>
  <si>
    <t xml:space="preserve">Annual Appreciation (0% baseline)</t>
  </si>
  <si>
    <t xml:space="preserve">Cumulative Appreciation</t>
  </si>
  <si>
    <t xml:space="preserve">Annual Principal Paydown (approx.)</t>
  </si>
  <si>
    <t xml:space="preserve">Cumulative Principal Paydown</t>
  </si>
  <si>
    <t xml:space="preserve">TOTAL CUMULATIVE RETURN ($)</t>
  </si>
  <si>
    <t xml:space="preserve">TOTAL RETURN % (of Cash Invested)</t>
  </si>
  <si>
    <t xml:space="preserve">Cash-on-Cash (annual, Mid)</t>
  </si>
  <si>
    <t xml:space="preserve">MORTGAGE AMORTIZATION TABLE</t>
  </si>
  <si>
    <t xml:space="preserve">Term (Years)</t>
  </si>
  <si>
    <t xml:space="preserve">Month</t>
  </si>
  <si>
    <t xml:space="preserve">Beg. Balance</t>
  </si>
  <si>
    <t xml:space="preserve">Payment</t>
  </si>
  <si>
    <t xml:space="preserve">Interest</t>
  </si>
  <si>
    <t xml:space="preserve">Principal</t>
  </si>
  <si>
    <t xml:space="preserve">End Balance</t>
  </si>
  <si>
    <t xml:space="preserve">Cum. Paydown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</si>
</sst>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0"/>
    <numFmt numFmtId="167" formatCode="0.0"/>
    <numFmt numFmtId="168" formatCode="#,##0;\(#,##0\);\-"/>
    <numFmt numFmtId="169" formatCode="0.0%;\(0.0%\);\-"/>
    <numFmt numFmtId="170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59595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A4B39"/>
        <bgColor rgb="FF003300"/>
      </patternFill>
    </fill>
    <fill>
      <patternFill patternType="solid">
        <fgColor rgb="FFFFFACC"/>
        <bgColor rgb="FFFFFFFF"/>
      </patternFill>
    </fill>
    <fill>
      <patternFill patternType="solid">
        <fgColor rgb="FFE8A753"/>
        <bgColor rgb="FFFF8080"/>
      </patternFill>
    </fill>
    <fill>
      <patternFill patternType="solid">
        <fgColor rgb="FF0000FF"/>
        <bgColor rgb="FF0000FF"/>
      </patternFill>
    </fill>
    <fill>
      <patternFill patternType="solid">
        <fgColor rgb="FF000000"/>
        <bgColor rgb="FF003300"/>
      </patternFill>
    </fill>
    <fill>
      <patternFill patternType="solid">
        <fgColor rgb="FFC00000"/>
        <bgColor rgb="FF800000"/>
      </patternFill>
    </fill>
    <fill>
      <patternFill patternType="solid">
        <fgColor rgb="FFD5A6BD"/>
        <bgColor rgb="FFCC99FF"/>
      </patternFill>
    </fill>
    <fill>
      <patternFill patternType="solid">
        <fgColor rgb="FF00B050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7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5A6BD"/>
      <rgbColor rgb="FF808080"/>
      <rgbColor rgb="FF9999FF"/>
      <rgbColor rgb="FF993366"/>
      <rgbColor rgb="FFFFFA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8A753"/>
      <rgbColor rgb="FFFF6600"/>
      <rgbColor rgb="FF595959"/>
      <rgbColor rgb="FF969696"/>
      <rgbColor rgb="FF0A4B39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6" min="4" style="0" width="16"/>
    <col collapsed="false" customWidth="true" hidden="false" outlineLevel="0" max="7" min="7" style="0" width="2"/>
    <col collapsed="false" customWidth="true" hidden="false" outlineLevel="0" max="8" min="8" style="0" width="32"/>
    <col collapsed="false" customWidth="true" hidden="false" outlineLevel="0" max="10" min="9" style="0" width="14"/>
  </cols>
  <sheetData>
    <row r="1" customFormat="false" ht="21.75" hidden="false" customHeight="true" outlineLevel="0" collapsed="false">
      <c r="B1" s="1" t="s">
        <v>0</v>
      </c>
      <c r="C1" s="2"/>
      <c r="D1" s="2"/>
      <c r="E1" s="2"/>
      <c r="F1" s="2"/>
    </row>
    <row r="2" customFormat="false" ht="15" hidden="false" customHeight="false" outlineLevel="0" collapsed="false">
      <c r="B2" s="3" t="s">
        <v>1</v>
      </c>
      <c r="C2" s="4"/>
      <c r="D2" s="4" t="s">
        <v>2</v>
      </c>
    </row>
    <row r="4" customFormat="false" ht="15" hidden="false" customHeight="false" outlineLevel="0" collapsed="false">
      <c r="B4" s="5"/>
      <c r="C4" s="6" t="s">
        <v>3</v>
      </c>
      <c r="D4" s="6" t="s">
        <v>4</v>
      </c>
      <c r="E4" s="6" t="s">
        <v>5</v>
      </c>
      <c r="F4" s="6" t="s">
        <v>6</v>
      </c>
      <c r="H4" s="5" t="s">
        <v>7</v>
      </c>
      <c r="I4" s="6" t="s">
        <v>8</v>
      </c>
      <c r="J4" s="6" t="s">
        <v>9</v>
      </c>
    </row>
    <row r="5" customFormat="false" ht="15.75" hidden="false" customHeight="true" outlineLevel="0" collapsed="false">
      <c r="B5" s="5" t="s">
        <v>10</v>
      </c>
      <c r="C5" s="2"/>
      <c r="D5" s="2"/>
      <c r="E5" s="2"/>
      <c r="F5" s="2"/>
      <c r="H5" s="3" t="s">
        <v>11</v>
      </c>
      <c r="I5" s="7" t="n">
        <v>100</v>
      </c>
      <c r="J5" s="8" t="n">
        <f aca="false">I5*12</f>
        <v>1200</v>
      </c>
    </row>
    <row r="6" customFormat="false" ht="15" hidden="false" customHeight="false" outlineLevel="0" collapsed="false">
      <c r="B6" s="3" t="s">
        <v>12</v>
      </c>
      <c r="D6" s="9" t="n">
        <v>6</v>
      </c>
      <c r="H6" s="3" t="s">
        <v>13</v>
      </c>
      <c r="I6" s="7" t="n">
        <v>0</v>
      </c>
      <c r="J6" s="8" t="n">
        <f aca="false">I6*12</f>
        <v>0</v>
      </c>
    </row>
    <row r="7" customFormat="false" ht="15" hidden="false" customHeight="false" outlineLevel="0" collapsed="false">
      <c r="B7" s="3" t="s">
        <v>14</v>
      </c>
      <c r="D7" s="10" t="n">
        <v>4</v>
      </c>
      <c r="H7" s="3" t="s">
        <v>15</v>
      </c>
      <c r="I7" s="7" t="n">
        <v>100</v>
      </c>
      <c r="J7" s="8" t="n">
        <f aca="false">I7*12</f>
        <v>1200</v>
      </c>
    </row>
    <row r="8" customFormat="false" ht="15" hidden="false" customHeight="false" outlineLevel="0" collapsed="false">
      <c r="B8" s="3" t="s">
        <v>16</v>
      </c>
      <c r="D8" s="11" t="n">
        <v>3000</v>
      </c>
      <c r="H8" s="3" t="s">
        <v>17</v>
      </c>
      <c r="I8" s="7" t="n">
        <v>0</v>
      </c>
      <c r="J8" s="8" t="n">
        <f aca="false">I8*12</f>
        <v>0</v>
      </c>
    </row>
    <row r="9" customFormat="false" ht="15" hidden="false" customHeight="false" outlineLevel="0" collapsed="false">
      <c r="B9" s="3" t="s">
        <v>18</v>
      </c>
      <c r="D9" s="4" t="s">
        <v>19</v>
      </c>
      <c r="H9" s="3" t="s">
        <v>20</v>
      </c>
      <c r="I9" s="7" t="n">
        <v>13</v>
      </c>
      <c r="J9" s="8" t="n">
        <f aca="false">I9*12</f>
        <v>156</v>
      </c>
    </row>
    <row r="10" customFormat="false" ht="15" hidden="false" customHeight="false" outlineLevel="0" collapsed="false">
      <c r="H10" s="3" t="s">
        <v>21</v>
      </c>
      <c r="I10" s="7" t="n">
        <v>200</v>
      </c>
      <c r="J10" s="8" t="n">
        <f aca="false">I10*12</f>
        <v>2400</v>
      </c>
    </row>
    <row r="11" customFormat="false" ht="15.75" hidden="false" customHeight="true" outlineLevel="0" collapsed="false">
      <c r="B11" s="5" t="s">
        <v>22</v>
      </c>
      <c r="C11" s="2"/>
      <c r="D11" s="2"/>
      <c r="E11" s="2"/>
      <c r="F11" s="2"/>
      <c r="H11" s="3" t="s">
        <v>23</v>
      </c>
      <c r="I11" s="7" t="n">
        <v>150</v>
      </c>
      <c r="J11" s="8" t="n">
        <f aca="false">I11*12</f>
        <v>1800</v>
      </c>
    </row>
    <row r="12" customFormat="false" ht="15" hidden="false" customHeight="false" outlineLevel="0" collapsed="false">
      <c r="B12" s="3" t="s">
        <v>24</v>
      </c>
      <c r="D12" s="7" t="n">
        <v>850000</v>
      </c>
      <c r="H12" s="3" t="s">
        <v>25</v>
      </c>
      <c r="I12" s="7" t="n">
        <v>50</v>
      </c>
      <c r="J12" s="8" t="n">
        <f aca="false">I12*12</f>
        <v>600</v>
      </c>
    </row>
    <row r="13" customFormat="false" ht="15" hidden="false" customHeight="false" outlineLevel="0" collapsed="false">
      <c r="B13" s="3" t="s">
        <v>26</v>
      </c>
      <c r="C13" s="12" t="n">
        <v>0.1</v>
      </c>
      <c r="D13" s="8" t="n">
        <f aca="false">D12*C13</f>
        <v>85000</v>
      </c>
      <c r="H13" s="3" t="s">
        <v>27</v>
      </c>
      <c r="I13" s="7" t="n">
        <v>0</v>
      </c>
      <c r="J13" s="8" t="n">
        <f aca="false">I13*12</f>
        <v>0</v>
      </c>
    </row>
    <row r="14" customFormat="false" ht="15" hidden="false" customHeight="false" outlineLevel="0" collapsed="false">
      <c r="B14" s="3" t="s">
        <v>28</v>
      </c>
      <c r="D14" s="8" t="n">
        <f aca="false">D12-D13</f>
        <v>765000</v>
      </c>
      <c r="H14" s="3" t="s">
        <v>29</v>
      </c>
      <c r="I14" s="7" t="n">
        <v>0</v>
      </c>
      <c r="J14" s="8" t="n">
        <f aca="false">I14*12</f>
        <v>0</v>
      </c>
    </row>
    <row r="15" customFormat="false" ht="15" hidden="false" customHeight="false" outlineLevel="0" collapsed="false">
      <c r="B15" s="3" t="s">
        <v>30</v>
      </c>
      <c r="C15" s="13" t="n">
        <v>0.07</v>
      </c>
      <c r="H15" s="3" t="s">
        <v>31</v>
      </c>
      <c r="I15" s="7" t="n">
        <v>200</v>
      </c>
      <c r="J15" s="8" t="n">
        <f aca="false">I15*12</f>
        <v>2400</v>
      </c>
    </row>
    <row r="16" customFormat="false" ht="15" hidden="false" customHeight="false" outlineLevel="0" collapsed="false">
      <c r="B16" s="3" t="s">
        <v>32</v>
      </c>
      <c r="C16" s="9" t="n">
        <v>30</v>
      </c>
      <c r="H16" s="3" t="s">
        <v>33</v>
      </c>
      <c r="I16" s="7" t="n">
        <v>250</v>
      </c>
      <c r="J16" s="8" t="n">
        <f aca="false">I16*12</f>
        <v>3000</v>
      </c>
    </row>
    <row r="17" customFormat="false" ht="15" hidden="false" customHeight="false" outlineLevel="0" collapsed="false">
      <c r="B17" s="3" t="s">
        <v>34</v>
      </c>
      <c r="D17" s="4" t="s">
        <v>35</v>
      </c>
      <c r="H17" s="3" t="s">
        <v>36</v>
      </c>
      <c r="I17" s="8" t="n">
        <f aca="false">D20</f>
        <v>5089.56408812075</v>
      </c>
      <c r="J17" s="8" t="n">
        <f aca="false">I17*12</f>
        <v>61074.7690574489</v>
      </c>
    </row>
    <row r="18" customFormat="false" ht="15" hidden="false" customHeight="false" outlineLevel="0" collapsed="false">
      <c r="B18" s="3" t="s">
        <v>37</v>
      </c>
      <c r="C18" s="12" t="n">
        <v>0.03</v>
      </c>
      <c r="D18" s="8" t="n">
        <f aca="false">D12*C18</f>
        <v>25500</v>
      </c>
      <c r="H18" s="14" t="s">
        <v>38</v>
      </c>
      <c r="I18" s="15" t="n">
        <f aca="false">SUM(I5:I17)</f>
        <v>6152.56408812075</v>
      </c>
      <c r="J18" s="15" t="n">
        <f aca="false">I18*12</f>
        <v>73830.7690574489</v>
      </c>
    </row>
    <row r="19" customFormat="false" ht="15" hidden="false" customHeight="false" outlineLevel="0" collapsed="false">
      <c r="B19" s="3" t="s">
        <v>39</v>
      </c>
      <c r="C19" s="13" t="n">
        <v>0.005</v>
      </c>
      <c r="D19" s="8" t="n">
        <f aca="false">D14*C19</f>
        <v>3825</v>
      </c>
    </row>
    <row r="20" customFormat="false" ht="15" hidden="false" customHeight="false" outlineLevel="0" collapsed="false">
      <c r="B20" s="3" t="s">
        <v>40</v>
      </c>
      <c r="D20" s="8" t="n">
        <f aca="false">IF(C15=0,D14/(C16*12),(D14*(C15/12)*(1+C15/12)^(C16*12))/((1+C15/12)^(C16*12)-1))</f>
        <v>5089.56408812075</v>
      </c>
    </row>
    <row r="21" customFormat="false" ht="15" hidden="false" customHeight="false" outlineLevel="0" collapsed="false">
      <c r="B21" s="3" t="s">
        <v>41</v>
      </c>
      <c r="D21" s="8" t="n">
        <f aca="false">D20*12</f>
        <v>61074.7690574489</v>
      </c>
    </row>
    <row r="22" customFormat="false" ht="15" hidden="false" customHeight="false" outlineLevel="0" collapsed="false">
      <c r="B22" s="3" t="s">
        <v>42</v>
      </c>
      <c r="D22" s="8" t="n">
        <f aca="false">D21-D14*C15</f>
        <v>7524.76905744893</v>
      </c>
    </row>
    <row r="24" customFormat="false" ht="15.75" hidden="false" customHeight="true" outlineLevel="0" collapsed="false">
      <c r="B24" s="5" t="s">
        <v>43</v>
      </c>
      <c r="C24" s="2"/>
      <c r="D24" s="2"/>
      <c r="E24" s="2"/>
      <c r="F24" s="2"/>
    </row>
    <row r="25" customFormat="false" ht="15" hidden="false" customHeight="false" outlineLevel="0" collapsed="false">
      <c r="B25" s="3" t="s">
        <v>44</v>
      </c>
      <c r="D25" s="7" t="n">
        <v>0</v>
      </c>
    </row>
    <row r="26" customFormat="false" ht="15" hidden="false" customHeight="false" outlineLevel="0" collapsed="false">
      <c r="B26" s="3" t="s">
        <v>45</v>
      </c>
      <c r="D26" s="7" t="n">
        <v>0</v>
      </c>
    </row>
    <row r="27" customFormat="false" ht="15" hidden="false" customHeight="false" outlineLevel="0" collapsed="false">
      <c r="B27" s="14" t="s">
        <v>46</v>
      </c>
      <c r="D27" s="15" t="n">
        <f aca="false">D25+D26</f>
        <v>0</v>
      </c>
    </row>
    <row r="28" customFormat="false" ht="15" hidden="false" customHeight="false" outlineLevel="0" collapsed="false">
      <c r="B28" s="14" t="s">
        <v>47</v>
      </c>
      <c r="D28" s="15" t="n">
        <f aca="false">D13+D18+D27</f>
        <v>110500</v>
      </c>
    </row>
    <row r="30" customFormat="false" ht="15.75" hidden="false" customHeight="true" outlineLevel="0" collapsed="false">
      <c r="B30" s="5" t="s">
        <v>48</v>
      </c>
      <c r="C30" s="2"/>
      <c r="D30" s="2"/>
      <c r="E30" s="2"/>
      <c r="F30" s="2"/>
    </row>
    <row r="31" customFormat="false" ht="15" hidden="false" customHeight="false" outlineLevel="0" collapsed="false">
      <c r="B31" s="3" t="s">
        <v>49</v>
      </c>
      <c r="D31" s="7" t="n">
        <v>275</v>
      </c>
      <c r="E31" s="7" t="n">
        <v>325</v>
      </c>
      <c r="F31" s="7" t="n">
        <v>375</v>
      </c>
    </row>
    <row r="32" customFormat="false" ht="15" hidden="false" customHeight="false" outlineLevel="0" collapsed="false">
      <c r="B32" s="3" t="s">
        <v>50</v>
      </c>
      <c r="D32" s="12" t="n">
        <v>0.58</v>
      </c>
      <c r="E32" s="12" t="n">
        <v>0.65</v>
      </c>
      <c r="F32" s="12" t="n">
        <v>0.72</v>
      </c>
    </row>
    <row r="33" customFormat="false" ht="15" hidden="false" customHeight="false" outlineLevel="0" collapsed="false">
      <c r="B33" s="3" t="s">
        <v>51</v>
      </c>
      <c r="D33" s="8" t="n">
        <f aca="false">D31*D32*365</f>
        <v>58217.5</v>
      </c>
      <c r="E33" s="8" t="n">
        <f aca="false">E31*E32*365</f>
        <v>77106.25</v>
      </c>
      <c r="F33" s="8" t="n">
        <f aca="false">F31*F32*365</f>
        <v>98550</v>
      </c>
    </row>
    <row r="34" customFormat="false" ht="15" hidden="false" customHeight="false" outlineLevel="0" collapsed="false">
      <c r="B34" s="3" t="s">
        <v>52</v>
      </c>
      <c r="C34" s="10" t="n">
        <v>3.5</v>
      </c>
    </row>
    <row r="35" customFormat="false" ht="15" hidden="false" customHeight="false" outlineLevel="0" collapsed="false">
      <c r="B35" s="3" t="s">
        <v>53</v>
      </c>
      <c r="D35" s="16" t="n">
        <f aca="false">ROUND(365*D32/C34,0)</f>
        <v>60</v>
      </c>
      <c r="E35" s="16" t="n">
        <f aca="false">ROUND(365*E32/C34,0)</f>
        <v>68</v>
      </c>
      <c r="F35" s="16" t="n">
        <f aca="false">ROUND(365*F32/C34,0)</f>
        <v>75</v>
      </c>
    </row>
    <row r="36" customFormat="false" ht="15" hidden="false" customHeight="false" outlineLevel="0" collapsed="false">
      <c r="B36" s="17" t="s">
        <v>54</v>
      </c>
      <c r="D36" s="4" t="s">
        <v>55</v>
      </c>
    </row>
    <row r="38" customFormat="false" ht="15.75" hidden="false" customHeight="true" outlineLevel="0" collapsed="false">
      <c r="B38" s="5" t="s">
        <v>56</v>
      </c>
      <c r="C38" s="6" t="s">
        <v>3</v>
      </c>
      <c r="D38" s="2"/>
      <c r="E38" s="2"/>
      <c r="F38" s="2"/>
    </row>
    <row r="39" customFormat="false" ht="15" hidden="false" customHeight="false" outlineLevel="0" collapsed="false">
      <c r="B39" s="17" t="s">
        <v>57</v>
      </c>
      <c r="C39" s="12" t="n">
        <v>0.03</v>
      </c>
      <c r="D39" s="8" t="n">
        <f aca="false">D33*C39</f>
        <v>1746.525</v>
      </c>
      <c r="E39" s="8" t="n">
        <f aca="false">E33*C39</f>
        <v>2313.1875</v>
      </c>
      <c r="F39" s="8" t="n">
        <f aca="false">F33*C39</f>
        <v>2956.5</v>
      </c>
    </row>
    <row r="40" customFormat="false" ht="15" hidden="false" customHeight="false" outlineLevel="0" collapsed="false">
      <c r="B40" s="17" t="s">
        <v>58</v>
      </c>
      <c r="C40" s="12" t="n">
        <v>0.2</v>
      </c>
      <c r="D40" s="8" t="n">
        <f aca="false">D33*C40</f>
        <v>11643.5</v>
      </c>
      <c r="E40" s="8" t="n">
        <f aca="false">E33*C40</f>
        <v>15421.25</v>
      </c>
      <c r="F40" s="8" t="n">
        <f aca="false">F33*C40</f>
        <v>19710</v>
      </c>
    </row>
    <row r="41" customFormat="false" ht="15" hidden="false" customHeight="false" outlineLevel="0" collapsed="false">
      <c r="B41" s="17" t="s">
        <v>59</v>
      </c>
      <c r="C41" s="8" t="n">
        <f aca="false">IF(D6&gt;=8,550,IF(D6=7,450,IF(D6=6,400,350)))</f>
        <v>400</v>
      </c>
      <c r="D41" s="8" t="n">
        <f aca="false">C41*D35</f>
        <v>24000</v>
      </c>
      <c r="E41" s="8" t="n">
        <f aca="false">C41*E35</f>
        <v>27200</v>
      </c>
      <c r="F41" s="8" t="n">
        <f aca="false">C41*F35</f>
        <v>30000</v>
      </c>
    </row>
    <row r="42" customFormat="false" ht="15" hidden="false" customHeight="false" outlineLevel="0" collapsed="false">
      <c r="B42" s="17" t="s">
        <v>60</v>
      </c>
      <c r="C42" s="8" t="n">
        <f aca="false">IF(D6&gt;=8,800,IF(D6=7,700,IF(D6=6,500,400)))</f>
        <v>500</v>
      </c>
      <c r="D42" s="8" t="n">
        <f aca="false">C42</f>
        <v>500</v>
      </c>
      <c r="E42" s="8" t="n">
        <f aca="false">C42</f>
        <v>500</v>
      </c>
      <c r="F42" s="8" t="n">
        <f aca="false">C42</f>
        <v>500</v>
      </c>
    </row>
    <row r="43" customFormat="false" ht="15" hidden="false" customHeight="false" outlineLevel="0" collapsed="false">
      <c r="B43" s="17" t="s">
        <v>61</v>
      </c>
      <c r="C43" s="7" t="n">
        <v>500</v>
      </c>
      <c r="D43" s="8" t="n">
        <f aca="false">C43*12</f>
        <v>6000</v>
      </c>
      <c r="E43" s="8" t="n">
        <f aca="false">C43*12</f>
        <v>6000</v>
      </c>
      <c r="F43" s="8" t="n">
        <f aca="false">C43*12</f>
        <v>6000</v>
      </c>
    </row>
    <row r="44" customFormat="false" ht="15" hidden="false" customHeight="false" outlineLevel="0" collapsed="false">
      <c r="B44" s="17" t="s">
        <v>62</v>
      </c>
      <c r="C44" s="7" t="n">
        <v>3000</v>
      </c>
      <c r="D44" s="8" t="n">
        <f aca="false">C44</f>
        <v>3000</v>
      </c>
      <c r="E44" s="8" t="n">
        <f aca="false">C44</f>
        <v>3000</v>
      </c>
      <c r="F44" s="8" t="n">
        <f aca="false">C44</f>
        <v>3000</v>
      </c>
    </row>
    <row r="45" customFormat="false" ht="15" hidden="false" customHeight="false" outlineLevel="0" collapsed="false">
      <c r="B45" s="17" t="s">
        <v>63</v>
      </c>
      <c r="C45" s="18" t="s">
        <v>64</v>
      </c>
      <c r="D45" s="7" t="n">
        <v>0</v>
      </c>
      <c r="E45" s="8" t="n">
        <f aca="false">D45</f>
        <v>0</v>
      </c>
      <c r="F45" s="8" t="n">
        <f aca="false">D45</f>
        <v>0</v>
      </c>
    </row>
    <row r="46" customFormat="false" ht="15" hidden="false" customHeight="false" outlineLevel="0" collapsed="false">
      <c r="B46" s="17" t="s">
        <v>65</v>
      </c>
      <c r="C46" s="8" t="n">
        <f aca="false">IF(D6&gt;=8,800,IF(D6=7,700,IF(D6=6,500,400)))</f>
        <v>500</v>
      </c>
      <c r="D46" s="8" t="n">
        <f aca="false">C46</f>
        <v>500</v>
      </c>
      <c r="E46" s="8" t="n">
        <f aca="false">C46</f>
        <v>500</v>
      </c>
      <c r="F46" s="8" t="n">
        <f aca="false">C46</f>
        <v>500</v>
      </c>
    </row>
    <row r="47" customFormat="false" ht="15" hidden="false" customHeight="false" outlineLevel="0" collapsed="false">
      <c r="B47" s="17" t="s">
        <v>66</v>
      </c>
      <c r="C47" s="7" t="n">
        <v>150</v>
      </c>
      <c r="D47" s="8" t="n">
        <f aca="false">C47*12</f>
        <v>1800</v>
      </c>
      <c r="E47" s="8" t="n">
        <f aca="false">C47*12</f>
        <v>1800</v>
      </c>
      <c r="F47" s="8" t="n">
        <f aca="false">C47*12</f>
        <v>1800</v>
      </c>
    </row>
    <row r="48" customFormat="false" ht="15" hidden="false" customHeight="false" outlineLevel="0" collapsed="false">
      <c r="B48" s="17" t="s">
        <v>67</v>
      </c>
      <c r="C48" s="7" t="n">
        <v>150</v>
      </c>
      <c r="D48" s="8" t="n">
        <f aca="false">C48</f>
        <v>150</v>
      </c>
      <c r="E48" s="8" t="n">
        <f aca="false">C48</f>
        <v>150</v>
      </c>
      <c r="F48" s="8" t="n">
        <f aca="false">C48</f>
        <v>150</v>
      </c>
    </row>
    <row r="49" customFormat="false" ht="15" hidden="false" customHeight="false" outlineLevel="0" collapsed="false">
      <c r="B49" s="17" t="s">
        <v>68</v>
      </c>
      <c r="C49" s="7" t="n">
        <v>200</v>
      </c>
      <c r="D49" s="8" t="n">
        <f aca="false">C49*12</f>
        <v>2400</v>
      </c>
      <c r="E49" s="8" t="n">
        <f aca="false">C49*12</f>
        <v>2400</v>
      </c>
      <c r="F49" s="8" t="n">
        <f aca="false">C49*12</f>
        <v>2400</v>
      </c>
    </row>
    <row r="50" customFormat="false" ht="15" hidden="false" customHeight="false" outlineLevel="0" collapsed="false">
      <c r="B50" s="17" t="s">
        <v>69</v>
      </c>
      <c r="C50" s="7" t="n">
        <v>150</v>
      </c>
      <c r="D50" s="8" t="n">
        <f aca="false">C50*12</f>
        <v>1800</v>
      </c>
      <c r="E50" s="8" t="n">
        <f aca="false">C50*12</f>
        <v>1800</v>
      </c>
      <c r="F50" s="8" t="n">
        <f aca="false">C50*12</f>
        <v>1800</v>
      </c>
    </row>
    <row r="51" customFormat="false" ht="15" hidden="false" customHeight="false" outlineLevel="0" collapsed="false">
      <c r="B51" s="17" t="s">
        <v>39</v>
      </c>
      <c r="D51" s="19" t="n">
        <f aca="false">D19</f>
        <v>3825</v>
      </c>
      <c r="E51" s="19" t="n">
        <f aca="false">D19</f>
        <v>3825</v>
      </c>
      <c r="F51" s="19" t="n">
        <f aca="false">D19</f>
        <v>3825</v>
      </c>
    </row>
    <row r="52" customFormat="false" ht="15" hidden="false" customHeight="false" outlineLevel="0" collapsed="false">
      <c r="B52" s="17" t="s">
        <v>70</v>
      </c>
      <c r="C52" s="7" t="n">
        <v>0</v>
      </c>
      <c r="D52" s="8" t="n">
        <f aca="false">C52</f>
        <v>0</v>
      </c>
      <c r="E52" s="8" t="n">
        <f aca="false">C52</f>
        <v>0</v>
      </c>
      <c r="F52" s="8" t="n">
        <f aca="false">C52</f>
        <v>0</v>
      </c>
    </row>
    <row r="53" customFormat="false" ht="15" hidden="false" customHeight="false" outlineLevel="0" collapsed="false">
      <c r="B53" s="14" t="s">
        <v>71</v>
      </c>
      <c r="C53" s="20"/>
      <c r="D53" s="15" t="n">
        <f aca="false">D39+D40+D41+D42+D43+D44+D45+D46+D47+D48+D49+D50+D51+D52</f>
        <v>57365.025</v>
      </c>
      <c r="E53" s="15" t="n">
        <f aca="false">E39+E40+E41+E42+E43+E44+E45+E46+E47+E48+E49+E50+E51+E52</f>
        <v>64909.4375</v>
      </c>
      <c r="F53" s="15" t="n">
        <f aca="false">F39+F40+F41+F42+F43+F44+F45+F46+F47+F48+F49+F50+F51+F52</f>
        <v>72641.5</v>
      </c>
    </row>
    <row r="54" customFormat="false" ht="15" hidden="false" customHeight="false" outlineLevel="0" collapsed="false">
      <c r="B54" s="18" t="s">
        <v>72</v>
      </c>
      <c r="D54" s="21" t="n">
        <f aca="false">D53/D33</f>
        <v>0.98535706617426</v>
      </c>
      <c r="E54" s="21" t="n">
        <f aca="false">E53/E33</f>
        <v>0.841818108130016</v>
      </c>
      <c r="F54" s="21" t="n">
        <f aca="false">F53/F33</f>
        <v>0.737102993404363</v>
      </c>
    </row>
    <row r="56" customFormat="false" ht="15.75" hidden="false" customHeight="true" outlineLevel="0" collapsed="false">
      <c r="B56" s="5" t="s">
        <v>73</v>
      </c>
      <c r="C56" s="2"/>
      <c r="D56" s="2"/>
      <c r="E56" s="2"/>
      <c r="F56" s="2"/>
    </row>
    <row r="57" customFormat="false" ht="15" hidden="false" customHeight="false" outlineLevel="0" collapsed="false">
      <c r="B57" s="17" t="s">
        <v>74</v>
      </c>
      <c r="D57" s="8" t="n">
        <f aca="false">D33</f>
        <v>58217.5</v>
      </c>
      <c r="E57" s="8" t="n">
        <f aca="false">E33</f>
        <v>77106.25</v>
      </c>
      <c r="F57" s="8" t="n">
        <f aca="false">F33</f>
        <v>98550</v>
      </c>
    </row>
    <row r="58" customFormat="false" ht="15" hidden="false" customHeight="false" outlineLevel="0" collapsed="false">
      <c r="B58" s="17" t="s">
        <v>71</v>
      </c>
      <c r="D58" s="8" t="n">
        <f aca="false">-D53</f>
        <v>-57365.025</v>
      </c>
      <c r="E58" s="8" t="n">
        <f aca="false">-E53</f>
        <v>-64909.4375</v>
      </c>
      <c r="F58" s="8" t="n">
        <f aca="false">-F53</f>
        <v>-72641.5</v>
      </c>
    </row>
    <row r="59" customFormat="false" ht="15" hidden="false" customHeight="false" outlineLevel="0" collapsed="false">
      <c r="B59" s="22" t="s">
        <v>75</v>
      </c>
      <c r="D59" s="23" t="n">
        <f aca="false">D57+D58</f>
        <v>852.474999999999</v>
      </c>
      <c r="E59" s="23" t="n">
        <f aca="false">E57+E58</f>
        <v>12196.8125</v>
      </c>
      <c r="F59" s="23" t="n">
        <f aca="false">F57+F58</f>
        <v>25908.5</v>
      </c>
    </row>
    <row r="60" customFormat="false" ht="15" hidden="false" customHeight="false" outlineLevel="0" collapsed="false">
      <c r="B60" s="24" t="s">
        <v>41</v>
      </c>
      <c r="D60" s="25" t="n">
        <f aca="false">-D21</f>
        <v>-61074.7690574489</v>
      </c>
      <c r="E60" s="25" t="n">
        <f aca="false">-D21</f>
        <v>-61074.7690574489</v>
      </c>
      <c r="F60" s="25" t="n">
        <f aca="false">-D21</f>
        <v>-61074.7690574489</v>
      </c>
    </row>
    <row r="61" customFormat="false" ht="15" hidden="false" customHeight="false" outlineLevel="0" collapsed="false">
      <c r="B61" s="26" t="s">
        <v>76</v>
      </c>
      <c r="D61" s="27" t="n">
        <f aca="false">D59-D21</f>
        <v>-60222.2940574489</v>
      </c>
      <c r="E61" s="27" t="n">
        <f aca="false">E59-D21</f>
        <v>-48877.9565574489</v>
      </c>
      <c r="F61" s="27" t="n">
        <f aca="false">F59-D21</f>
        <v>-35166.2690574489</v>
      </c>
    </row>
    <row r="62" customFormat="false" ht="15" hidden="false" customHeight="false" outlineLevel="0" collapsed="false">
      <c r="B62" s="26" t="s">
        <v>77</v>
      </c>
      <c r="D62" s="27" t="n">
        <f aca="false">D61/12</f>
        <v>-5018.52450478741</v>
      </c>
      <c r="E62" s="27" t="n">
        <f aca="false">E61/12</f>
        <v>-4073.16304645408</v>
      </c>
      <c r="F62" s="27" t="n">
        <f aca="false">F61/12</f>
        <v>-2930.52242145408</v>
      </c>
    </row>
    <row r="63" customFormat="false" ht="15" hidden="false" customHeight="false" outlineLevel="0" collapsed="false">
      <c r="B63" s="28" t="s">
        <v>78</v>
      </c>
      <c r="D63" s="29" t="n">
        <f aca="false">D61/D28</f>
        <v>-0.544998136266506</v>
      </c>
      <c r="E63" s="29" t="n">
        <f aca="false">E61/D28</f>
        <v>-0.442334448483701</v>
      </c>
      <c r="F63" s="29" t="n">
        <f aca="false">F61/D28</f>
        <v>-0.318246778800443</v>
      </c>
    </row>
    <row r="64" customFormat="false" ht="15" hidden="false" customHeight="false" outlineLevel="0" collapsed="false">
      <c r="B64" s="17" t="s">
        <v>79</v>
      </c>
      <c r="D64" s="30" t="n">
        <f aca="false">D33/D12</f>
        <v>0.0684911764705882</v>
      </c>
      <c r="E64" s="30" t="n">
        <f aca="false">E33/D12</f>
        <v>0.0907132352941177</v>
      </c>
      <c r="F64" s="30" t="n">
        <f aca="false">F33/D12</f>
        <v>0.115941176470588</v>
      </c>
    </row>
    <row r="65" customFormat="false" ht="15" hidden="false" customHeight="false" outlineLevel="0" collapsed="false">
      <c r="B65" s="14" t="s">
        <v>80</v>
      </c>
      <c r="C65" s="20"/>
      <c r="D65" s="20"/>
      <c r="E65" s="14" t="str">
        <f aca="false">IF(E63&gt;=0.1,"✓ STRONG BUY",IF(E63&gt;=0.08,"BUY",IF(E63&gt;=0.06,"HOLD","✗ PASS")))</f>
        <v>✗ PASS</v>
      </c>
      <c r="F65" s="20"/>
    </row>
    <row r="67" customFormat="false" ht="15.75" hidden="false" customHeight="true" outlineLevel="0" collapsed="false">
      <c r="B67" s="5" t="s">
        <v>81</v>
      </c>
      <c r="C67" s="2"/>
      <c r="D67" s="2"/>
      <c r="E67" s="2"/>
      <c r="F67" s="2"/>
    </row>
    <row r="68" customFormat="false" ht="15" hidden="false" customHeight="false" outlineLevel="0" collapsed="false">
      <c r="B68" s="17" t="s">
        <v>82</v>
      </c>
      <c r="C68" s="12" t="n">
        <v>0.8</v>
      </c>
      <c r="D68" s="8" t="n">
        <f aca="false">D12*C68</f>
        <v>680000</v>
      </c>
    </row>
    <row r="69" customFormat="false" ht="15" hidden="false" customHeight="false" outlineLevel="0" collapsed="false">
      <c r="B69" s="17" t="s">
        <v>83</v>
      </c>
      <c r="C69" s="12" t="n">
        <v>0.25</v>
      </c>
      <c r="D69" s="8" t="n">
        <f aca="false">D68*C69</f>
        <v>170000</v>
      </c>
    </row>
    <row r="70" customFormat="false" ht="15" hidden="false" customHeight="false" outlineLevel="0" collapsed="false">
      <c r="B70" s="17" t="s">
        <v>84</v>
      </c>
      <c r="C70" s="12" t="n">
        <v>0.15</v>
      </c>
      <c r="D70" s="8" t="n">
        <f aca="false">D68*C70</f>
        <v>102000</v>
      </c>
    </row>
    <row r="71" customFormat="false" ht="15" hidden="false" customHeight="false" outlineLevel="0" collapsed="false">
      <c r="B71" s="17" t="s">
        <v>85</v>
      </c>
      <c r="C71" s="12" t="n">
        <v>0.4</v>
      </c>
      <c r="D71" s="8" t="n">
        <f aca="false">D68*C71</f>
        <v>272000</v>
      </c>
    </row>
    <row r="72" customFormat="false" ht="15" hidden="false" customHeight="false" outlineLevel="0" collapsed="false">
      <c r="B72" s="17" t="s">
        <v>86</v>
      </c>
      <c r="C72" s="12" t="n">
        <v>0.2</v>
      </c>
    </row>
    <row r="73" customFormat="false" ht="15" hidden="false" customHeight="false" outlineLevel="0" collapsed="false">
      <c r="B73" s="17" t="s">
        <v>87</v>
      </c>
      <c r="D73" s="8" t="n">
        <f aca="false">(D69+D70)*C72</f>
        <v>54400</v>
      </c>
    </row>
    <row r="74" customFormat="false" ht="15" hidden="false" customHeight="false" outlineLevel="0" collapsed="false">
      <c r="B74" s="17" t="s">
        <v>88</v>
      </c>
      <c r="D74" s="8" t="n">
        <f aca="false">D71/39</f>
        <v>6974.35897435898</v>
      </c>
    </row>
    <row r="75" customFormat="false" ht="15" hidden="false" customHeight="false" outlineLevel="0" collapsed="false">
      <c r="B75" s="14" t="s">
        <v>89</v>
      </c>
      <c r="C75" s="20"/>
      <c r="D75" s="15" t="n">
        <f aca="false">D73+D74</f>
        <v>61374.358974359</v>
      </c>
    </row>
    <row r="76" customFormat="false" ht="15" hidden="false" customHeight="false" outlineLevel="0" collapsed="false">
      <c r="B76" s="17" t="s">
        <v>90</v>
      </c>
      <c r="C76" s="12" t="n">
        <v>0.37</v>
      </c>
    </row>
    <row r="77" customFormat="false" ht="15" hidden="false" customHeight="false" outlineLevel="0" collapsed="false">
      <c r="B77" s="3" t="s">
        <v>91</v>
      </c>
      <c r="D77" s="31" t="n">
        <f aca="false">D75*C76</f>
        <v>22708.5128205128</v>
      </c>
    </row>
    <row r="78" customFormat="false" ht="27.75" hidden="false" customHeight="true" outlineLevel="0" collapsed="false">
      <c r="B78" s="32" t="s">
        <v>92</v>
      </c>
    </row>
    <row r="80" customFormat="false" ht="15.75" hidden="false" customHeight="true" outlineLevel="0" collapsed="false">
      <c r="B80" s="5" t="s">
        <v>93</v>
      </c>
      <c r="C80" s="2"/>
      <c r="D80" s="2"/>
      <c r="E80" s="2"/>
      <c r="F80" s="2"/>
    </row>
    <row r="81" customFormat="false" ht="15" hidden="false" customHeight="false" outlineLevel="0" collapsed="false">
      <c r="B81" s="17" t="s">
        <v>94</v>
      </c>
      <c r="D81" s="8" t="n">
        <f aca="false">D61</f>
        <v>-60222.2940574489</v>
      </c>
      <c r="E81" s="8" t="n">
        <f aca="false">E61</f>
        <v>-48877.9565574489</v>
      </c>
      <c r="F81" s="8" t="n">
        <f aca="false">F61</f>
        <v>-35166.2690574489</v>
      </c>
    </row>
    <row r="82" customFormat="false" ht="15" hidden="false" customHeight="false" outlineLevel="0" collapsed="false">
      <c r="B82" s="17" t="s">
        <v>95</v>
      </c>
      <c r="D82" s="8" t="n">
        <f aca="false">D77</f>
        <v>22708.5128205128</v>
      </c>
      <c r="E82" s="8" t="n">
        <f aca="false">D77</f>
        <v>22708.5128205128</v>
      </c>
      <c r="F82" s="8" t="n">
        <f aca="false">D77</f>
        <v>22708.5128205128</v>
      </c>
    </row>
    <row r="83" customFormat="false" ht="15" hidden="false" customHeight="false" outlineLevel="0" collapsed="false">
      <c r="B83" s="17" t="s">
        <v>96</v>
      </c>
      <c r="C83" s="12" t="n">
        <v>0</v>
      </c>
      <c r="D83" s="8" t="n">
        <f aca="false">D12*C83</f>
        <v>0</v>
      </c>
      <c r="E83" s="8" t="n">
        <f aca="false">D12*C83</f>
        <v>0</v>
      </c>
      <c r="F83" s="8" t="n">
        <f aca="false">D12*C83</f>
        <v>0</v>
      </c>
    </row>
    <row r="84" customFormat="false" ht="15" hidden="false" customHeight="false" outlineLevel="0" collapsed="false">
      <c r="B84" s="17" t="s">
        <v>97</v>
      </c>
      <c r="D84" s="8" t="n">
        <f aca="false">D22</f>
        <v>7524.76905744893</v>
      </c>
      <c r="E84" s="8" t="n">
        <f aca="false">D22</f>
        <v>7524.76905744893</v>
      </c>
      <c r="F84" s="8" t="n">
        <f aca="false">D22</f>
        <v>7524.76905744893</v>
      </c>
    </row>
    <row r="85" customFormat="false" ht="15" hidden="false" customHeight="false" outlineLevel="0" collapsed="false">
      <c r="B85" s="33" t="s">
        <v>98</v>
      </c>
      <c r="D85" s="34" t="n">
        <f aca="false">D81+D82+D83+D84</f>
        <v>-29989.0121794872</v>
      </c>
      <c r="E85" s="34" t="n">
        <f aca="false">E81+E82+E83+E84</f>
        <v>-18644.6746794872</v>
      </c>
      <c r="F85" s="34" t="n">
        <f aca="false">F81+F82+F83+F84</f>
        <v>-4932.98717948719</v>
      </c>
    </row>
    <row r="86" customFormat="false" ht="15" hidden="false" customHeight="false" outlineLevel="0" collapsed="false">
      <c r="B86" s="33" t="s">
        <v>99</v>
      </c>
      <c r="D86" s="35" t="n">
        <f aca="false">D85/D28</f>
        <v>-0.271393775379975</v>
      </c>
      <c r="E86" s="35" t="n">
        <f aca="false">E85/D28</f>
        <v>-0.168730087597169</v>
      </c>
      <c r="F86" s="35" t="n">
        <f aca="false">F85/D28</f>
        <v>-0.0446424179139112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12" min="3" style="0" width="13"/>
  </cols>
  <sheetData>
    <row r="1" customFormat="false" ht="21.75" hidden="false" customHeight="true" outlineLevel="0" collapsed="false">
      <c r="B1" s="1" t="s">
        <v>100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B2" s="3" t="s">
        <v>1</v>
      </c>
      <c r="C2" s="36" t="str">
        <f aca="false">underwriting!D2</f>
        <v>{{address}}</v>
      </c>
    </row>
    <row r="4" customFormat="false" ht="15" hidden="false" customHeight="false" outlineLevel="0" collapsed="false">
      <c r="B4" s="5"/>
      <c r="C4" s="6" t="s">
        <v>101</v>
      </c>
      <c r="D4" s="6" t="s">
        <v>102</v>
      </c>
      <c r="E4" s="6" t="s">
        <v>103</v>
      </c>
      <c r="F4" s="6" t="s">
        <v>104</v>
      </c>
      <c r="G4" s="6" t="s">
        <v>105</v>
      </c>
      <c r="H4" s="6" t="s">
        <v>106</v>
      </c>
      <c r="I4" s="6" t="s">
        <v>107</v>
      </c>
      <c r="J4" s="6" t="s">
        <v>108</v>
      </c>
      <c r="K4" s="6" t="s">
        <v>109</v>
      </c>
      <c r="L4" s="6" t="s">
        <v>110</v>
      </c>
    </row>
    <row r="6" customFormat="false" ht="15.75" hidden="false" customHeight="true" outlineLevel="0" collapsed="false">
      <c r="B6" s="5" t="s">
        <v>111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customFormat="false" ht="15" hidden="false" customHeight="false" outlineLevel="0" collapsed="false">
      <c r="B7" s="17" t="s">
        <v>112</v>
      </c>
      <c r="C7" s="37" t="n">
        <f aca="false">underwriting!E61</f>
        <v>-48877.9565574489</v>
      </c>
      <c r="D7" s="37" t="n">
        <f aca="false">underwriting!E61</f>
        <v>-48877.9565574489</v>
      </c>
      <c r="E7" s="37" t="n">
        <f aca="false">underwriting!E61</f>
        <v>-48877.9565574489</v>
      </c>
      <c r="F7" s="37" t="n">
        <f aca="false">underwriting!E61</f>
        <v>-48877.9565574489</v>
      </c>
      <c r="G7" s="37" t="n">
        <f aca="false">underwriting!E61</f>
        <v>-48877.9565574489</v>
      </c>
      <c r="H7" s="37" t="n">
        <f aca="false">underwriting!E61</f>
        <v>-48877.9565574489</v>
      </c>
      <c r="I7" s="37" t="n">
        <f aca="false">underwriting!E61</f>
        <v>-48877.9565574489</v>
      </c>
      <c r="J7" s="37" t="n">
        <f aca="false">underwriting!E61</f>
        <v>-48877.9565574489</v>
      </c>
      <c r="K7" s="37" t="n">
        <f aca="false">underwriting!E61</f>
        <v>-48877.9565574489</v>
      </c>
      <c r="L7" s="37" t="n">
        <f aca="false">underwriting!E61</f>
        <v>-48877.9565574489</v>
      </c>
    </row>
    <row r="8" customFormat="false" ht="15" hidden="false" customHeight="false" outlineLevel="0" collapsed="false">
      <c r="B8" s="17" t="s">
        <v>113</v>
      </c>
      <c r="C8" s="37" t="n">
        <f aca="false">underwriting!D77</f>
        <v>22708.5128205128</v>
      </c>
      <c r="D8" s="37" t="n">
        <f aca="false">underwriting!D74*underwriting!C76</f>
        <v>2580.51282051282</v>
      </c>
      <c r="E8" s="37" t="n">
        <f aca="false">underwriting!D74*underwriting!C76</f>
        <v>2580.51282051282</v>
      </c>
      <c r="F8" s="37" t="n">
        <f aca="false">underwriting!D74*underwriting!C76</f>
        <v>2580.51282051282</v>
      </c>
      <c r="G8" s="37" t="n">
        <f aca="false">underwriting!D74*underwriting!C76</f>
        <v>2580.51282051282</v>
      </c>
      <c r="H8" s="37" t="n">
        <f aca="false">underwriting!D74*underwriting!C76</f>
        <v>2580.51282051282</v>
      </c>
      <c r="I8" s="37" t="n">
        <f aca="false">underwriting!D74*underwriting!C76</f>
        <v>2580.51282051282</v>
      </c>
      <c r="J8" s="37" t="n">
        <f aca="false">underwriting!D74*underwriting!C76</f>
        <v>2580.51282051282</v>
      </c>
      <c r="K8" s="37" t="n">
        <f aca="false">underwriting!D74*underwriting!C76</f>
        <v>2580.51282051282</v>
      </c>
      <c r="L8" s="37" t="n">
        <f aca="false">underwriting!D74*underwriting!C76</f>
        <v>2580.51282051282</v>
      </c>
    </row>
    <row r="9" customFormat="false" ht="15" hidden="false" customHeight="false" outlineLevel="0" collapsed="false">
      <c r="B9" s="17" t="s">
        <v>114</v>
      </c>
      <c r="C9" s="12" t="n">
        <v>0</v>
      </c>
    </row>
    <row r="10" customFormat="false" ht="15" hidden="false" customHeight="false" outlineLevel="0" collapsed="false">
      <c r="B10" s="17" t="s">
        <v>24</v>
      </c>
      <c r="C10" s="37" t="n">
        <f aca="false">underwriting!D12</f>
        <v>850000</v>
      </c>
    </row>
    <row r="12" customFormat="false" ht="15.75" hidden="false" customHeight="true" outlineLevel="0" collapsed="false">
      <c r="B12" s="5" t="s">
        <v>115</v>
      </c>
      <c r="C12" s="2"/>
      <c r="D12" s="2"/>
      <c r="E12" s="2"/>
      <c r="F12" s="2"/>
      <c r="G12" s="2"/>
      <c r="H12" s="2"/>
      <c r="I12" s="2"/>
      <c r="J12" s="2"/>
      <c r="K12" s="2"/>
      <c r="L12" s="2"/>
    </row>
    <row r="13" customFormat="false" ht="15" hidden="false" customHeight="false" outlineLevel="0" collapsed="false">
      <c r="B13" s="17" t="s">
        <v>116</v>
      </c>
      <c r="C13" s="8" t="n">
        <f aca="false">underwriting!E61</f>
        <v>-48877.9565574489</v>
      </c>
      <c r="D13" s="8" t="n">
        <f aca="false">underwriting!E61</f>
        <v>-48877.9565574489</v>
      </c>
      <c r="E13" s="8" t="n">
        <f aca="false">underwriting!E61</f>
        <v>-48877.9565574489</v>
      </c>
      <c r="F13" s="8" t="n">
        <f aca="false">underwriting!E61</f>
        <v>-48877.9565574489</v>
      </c>
      <c r="G13" s="8" t="n">
        <f aca="false">underwriting!E61</f>
        <v>-48877.9565574489</v>
      </c>
      <c r="H13" s="8" t="n">
        <f aca="false">underwriting!E61</f>
        <v>-48877.9565574489</v>
      </c>
      <c r="I13" s="8" t="n">
        <f aca="false">underwriting!E61</f>
        <v>-48877.9565574489</v>
      </c>
      <c r="J13" s="8" t="n">
        <f aca="false">underwriting!E61</f>
        <v>-48877.9565574489</v>
      </c>
      <c r="K13" s="8" t="n">
        <f aca="false">underwriting!E61</f>
        <v>-48877.9565574489</v>
      </c>
      <c r="L13" s="8" t="n">
        <f aca="false">underwriting!E61</f>
        <v>-48877.9565574489</v>
      </c>
    </row>
    <row r="14" customFormat="false" ht="15" hidden="false" customHeight="false" outlineLevel="0" collapsed="false">
      <c r="B14" s="3" t="s">
        <v>117</v>
      </c>
      <c r="C14" s="31" t="n">
        <f aca="false">C13</f>
        <v>-48877.9565574489</v>
      </c>
      <c r="D14" s="31" t="n">
        <f aca="false">C14+D13</f>
        <v>-97755.9131148979</v>
      </c>
      <c r="E14" s="31" t="n">
        <f aca="false">D14+E13</f>
        <v>-146633.869672347</v>
      </c>
      <c r="F14" s="31" t="n">
        <f aca="false">E14+F13</f>
        <v>-195511.826229796</v>
      </c>
      <c r="G14" s="31" t="n">
        <f aca="false">F14+G13</f>
        <v>-244389.782787245</v>
      </c>
      <c r="H14" s="31" t="n">
        <f aca="false">G14+H13</f>
        <v>-293267.739344694</v>
      </c>
      <c r="I14" s="31" t="n">
        <f aca="false">H14+I13</f>
        <v>-342145.695902143</v>
      </c>
      <c r="J14" s="31" t="n">
        <f aca="false">I14+J13</f>
        <v>-391023.652459592</v>
      </c>
      <c r="K14" s="31" t="n">
        <f aca="false">J14+K13</f>
        <v>-439901.609017041</v>
      </c>
      <c r="L14" s="31" t="n">
        <f aca="false">K14+L13</f>
        <v>-488779.56557449</v>
      </c>
    </row>
    <row r="15" customFormat="false" ht="15" hidden="false" customHeight="false" outlineLevel="0" collapsed="false">
      <c r="B15" s="17" t="s">
        <v>118</v>
      </c>
      <c r="C15" s="8" t="n">
        <f aca="false">underwriting!D77</f>
        <v>22708.5128205128</v>
      </c>
      <c r="D15" s="8" t="n">
        <f aca="false">underwriting!D74*underwriting!C76</f>
        <v>2580.51282051282</v>
      </c>
      <c r="E15" s="8" t="n">
        <f aca="false">underwriting!D74*underwriting!C76</f>
        <v>2580.51282051282</v>
      </c>
      <c r="F15" s="8" t="n">
        <f aca="false">underwriting!D74*underwriting!C76</f>
        <v>2580.51282051282</v>
      </c>
      <c r="G15" s="8" t="n">
        <f aca="false">underwriting!D74*underwriting!C76</f>
        <v>2580.51282051282</v>
      </c>
      <c r="H15" s="8" t="n">
        <f aca="false">underwriting!D74*underwriting!C76</f>
        <v>2580.51282051282</v>
      </c>
      <c r="I15" s="8" t="n">
        <f aca="false">underwriting!D74*underwriting!C76</f>
        <v>2580.51282051282</v>
      </c>
      <c r="J15" s="8" t="n">
        <f aca="false">underwriting!D74*underwriting!C76</f>
        <v>2580.51282051282</v>
      </c>
      <c r="K15" s="8" t="n">
        <f aca="false">underwriting!D74*underwriting!C76</f>
        <v>2580.51282051282</v>
      </c>
      <c r="L15" s="8" t="n">
        <f aca="false">underwriting!D74*underwriting!C76</f>
        <v>2580.51282051282</v>
      </c>
    </row>
    <row r="16" customFormat="false" ht="15" hidden="false" customHeight="false" outlineLevel="0" collapsed="false">
      <c r="B16" s="3" t="s">
        <v>119</v>
      </c>
      <c r="C16" s="31" t="n">
        <f aca="false">C15</f>
        <v>22708.5128205128</v>
      </c>
      <c r="D16" s="31" t="n">
        <f aca="false">C16+D15</f>
        <v>25289.0256410256</v>
      </c>
      <c r="E16" s="31" t="n">
        <f aca="false">D16+E15</f>
        <v>27869.5384615385</v>
      </c>
      <c r="F16" s="31" t="n">
        <f aca="false">E16+F15</f>
        <v>30450.0512820513</v>
      </c>
      <c r="G16" s="31" t="n">
        <f aca="false">F16+G15</f>
        <v>33030.5641025641</v>
      </c>
      <c r="H16" s="31" t="n">
        <f aca="false">G16+H15</f>
        <v>35611.0769230769</v>
      </c>
      <c r="I16" s="31" t="n">
        <f aca="false">H16+I15</f>
        <v>38191.5897435897</v>
      </c>
      <c r="J16" s="31" t="n">
        <f aca="false">I16+J15</f>
        <v>40772.1025641026</v>
      </c>
      <c r="K16" s="31" t="n">
        <f aca="false">J16+K15</f>
        <v>43352.6153846154</v>
      </c>
      <c r="L16" s="31" t="n">
        <f aca="false">K16+L15</f>
        <v>45933.1282051282</v>
      </c>
    </row>
    <row r="17" customFormat="false" ht="15" hidden="false" customHeight="false" outlineLevel="0" collapsed="false">
      <c r="B17" s="17" t="s">
        <v>120</v>
      </c>
      <c r="C17" s="8" t="n">
        <f aca="false">underwriting!D12*$C$9</f>
        <v>0</v>
      </c>
      <c r="D17" s="8" t="n">
        <f aca="false">underwriting!D12*$C$9</f>
        <v>0</v>
      </c>
      <c r="E17" s="8" t="n">
        <f aca="false">underwriting!D12*$C$9</f>
        <v>0</v>
      </c>
      <c r="F17" s="8" t="n">
        <f aca="false">underwriting!D12*$C$9</f>
        <v>0</v>
      </c>
      <c r="G17" s="8" t="n">
        <f aca="false">underwriting!D12*$C$9</f>
        <v>0</v>
      </c>
      <c r="H17" s="8" t="n">
        <f aca="false">underwriting!D12*$C$9</f>
        <v>0</v>
      </c>
      <c r="I17" s="8" t="n">
        <f aca="false">underwriting!D12*$C$9</f>
        <v>0</v>
      </c>
      <c r="J17" s="8" t="n">
        <f aca="false">underwriting!D12*$C$9</f>
        <v>0</v>
      </c>
      <c r="K17" s="8" t="n">
        <f aca="false">underwriting!D12*$C$9</f>
        <v>0</v>
      </c>
      <c r="L17" s="8" t="n">
        <f aca="false">underwriting!D12*$C$9</f>
        <v>0</v>
      </c>
    </row>
    <row r="18" customFormat="false" ht="15" hidden="false" customHeight="false" outlineLevel="0" collapsed="false">
      <c r="B18" s="3" t="s">
        <v>121</v>
      </c>
      <c r="C18" s="31" t="n">
        <f aca="false">C17</f>
        <v>0</v>
      </c>
      <c r="D18" s="31" t="n">
        <f aca="false">C18+D17</f>
        <v>0</v>
      </c>
      <c r="E18" s="31" t="n">
        <f aca="false">D18+E17</f>
        <v>0</v>
      </c>
      <c r="F18" s="31" t="n">
        <f aca="false">E18+F17</f>
        <v>0</v>
      </c>
      <c r="G18" s="31" t="n">
        <f aca="false">F18+G17</f>
        <v>0</v>
      </c>
      <c r="H18" s="31" t="n">
        <f aca="false">G18+H17</f>
        <v>0</v>
      </c>
      <c r="I18" s="31" t="n">
        <f aca="false">H18+I17</f>
        <v>0</v>
      </c>
      <c r="J18" s="31" t="n">
        <f aca="false">I18+J17</f>
        <v>0</v>
      </c>
      <c r="K18" s="31" t="n">
        <f aca="false">J18+K17</f>
        <v>0</v>
      </c>
      <c r="L18" s="31" t="n">
        <f aca="false">K18+L17</f>
        <v>0</v>
      </c>
    </row>
    <row r="19" customFormat="false" ht="15" hidden="false" customHeight="false" outlineLevel="0" collapsed="false">
      <c r="B19" s="17" t="s">
        <v>122</v>
      </c>
      <c r="C19" s="8" t="n">
        <f aca="false">underwriting!D22</f>
        <v>7524.76905744893</v>
      </c>
      <c r="D19" s="8" t="n">
        <f aca="false">underwriting!D22</f>
        <v>7524.76905744893</v>
      </c>
      <c r="E19" s="8" t="n">
        <f aca="false">underwriting!D22</f>
        <v>7524.76905744893</v>
      </c>
      <c r="F19" s="8" t="n">
        <f aca="false">underwriting!D22</f>
        <v>7524.76905744893</v>
      </c>
      <c r="G19" s="8" t="n">
        <f aca="false">underwriting!D22</f>
        <v>7524.76905744893</v>
      </c>
      <c r="H19" s="8" t="n">
        <f aca="false">underwriting!D22</f>
        <v>7524.76905744893</v>
      </c>
      <c r="I19" s="8" t="n">
        <f aca="false">underwriting!D22</f>
        <v>7524.76905744893</v>
      </c>
      <c r="J19" s="8" t="n">
        <f aca="false">underwriting!D22</f>
        <v>7524.76905744893</v>
      </c>
      <c r="K19" s="8" t="n">
        <f aca="false">underwriting!D22</f>
        <v>7524.76905744893</v>
      </c>
      <c r="L19" s="8" t="n">
        <f aca="false">underwriting!D22</f>
        <v>7524.76905744893</v>
      </c>
    </row>
    <row r="20" customFormat="false" ht="15" hidden="false" customHeight="false" outlineLevel="0" collapsed="false">
      <c r="B20" s="3" t="s">
        <v>123</v>
      </c>
      <c r="C20" s="31" t="n">
        <f aca="false">C19</f>
        <v>7524.76905744893</v>
      </c>
      <c r="D20" s="31" t="n">
        <f aca="false">C20+D19</f>
        <v>15049.5381148979</v>
      </c>
      <c r="E20" s="31" t="n">
        <f aca="false">D20+E19</f>
        <v>22574.3071723468</v>
      </c>
      <c r="F20" s="31" t="n">
        <f aca="false">E20+F19</f>
        <v>30099.0762297957</v>
      </c>
      <c r="G20" s="31" t="n">
        <f aca="false">F20+G19</f>
        <v>37623.8452872447</v>
      </c>
      <c r="H20" s="31" t="n">
        <f aca="false">G20+H19</f>
        <v>45148.6143446936</v>
      </c>
      <c r="I20" s="31" t="n">
        <f aca="false">H20+I19</f>
        <v>52673.3834021425</v>
      </c>
      <c r="J20" s="31" t="n">
        <f aca="false">I20+J19</f>
        <v>60198.1524595915</v>
      </c>
      <c r="K20" s="31" t="n">
        <f aca="false">J20+K19</f>
        <v>67722.9215170404</v>
      </c>
      <c r="L20" s="31" t="n">
        <f aca="false">K20+L19</f>
        <v>75247.6905744893</v>
      </c>
    </row>
    <row r="22" customFormat="false" ht="15" hidden="false" customHeight="false" outlineLevel="0" collapsed="false">
      <c r="B22" s="33" t="s">
        <v>124</v>
      </c>
      <c r="C22" s="34" t="n">
        <f aca="false">C14+C16+C18+C20</f>
        <v>-18644.6746794872</v>
      </c>
      <c r="D22" s="34" t="n">
        <f aca="false">D14+D16+D18+D20</f>
        <v>-57417.3493589744</v>
      </c>
      <c r="E22" s="34" t="n">
        <f aca="false">E14+E16+E18+E20</f>
        <v>-96190.0240384615</v>
      </c>
      <c r="F22" s="34" t="n">
        <f aca="false">F14+F16+F18+F20</f>
        <v>-134962.698717949</v>
      </c>
      <c r="G22" s="34" t="n">
        <f aca="false">G14+G16+G18+G20</f>
        <v>-173735.373397436</v>
      </c>
      <c r="H22" s="34" t="n">
        <f aca="false">H14+H16+H18+H20</f>
        <v>-212508.048076923</v>
      </c>
      <c r="I22" s="34" t="n">
        <f aca="false">I14+I16+I18+I20</f>
        <v>-251280.72275641</v>
      </c>
      <c r="J22" s="34" t="n">
        <f aca="false">J14+J16+J18+J20</f>
        <v>-290053.397435898</v>
      </c>
      <c r="K22" s="34" t="n">
        <f aca="false">K14+K16+K18+K20</f>
        <v>-328826.072115385</v>
      </c>
      <c r="L22" s="34" t="n">
        <f aca="false">L14+L16+L18+L20</f>
        <v>-367598.746794872</v>
      </c>
    </row>
    <row r="23" customFormat="false" ht="15" hidden="false" customHeight="false" outlineLevel="0" collapsed="false">
      <c r="B23" s="33" t="s">
        <v>125</v>
      </c>
      <c r="C23" s="35" t="n">
        <f aca="false">C22/underwriting!D28</f>
        <v>-0.168730087597169</v>
      </c>
      <c r="D23" s="35" t="n">
        <f aca="false">D22/underwriting!D28</f>
        <v>-0.519614021348184</v>
      </c>
      <c r="E23" s="35" t="n">
        <f aca="false">E22/underwriting!D28</f>
        <v>-0.870497955099199</v>
      </c>
      <c r="F23" s="35" t="n">
        <f aca="false">F22/underwriting!D28</f>
        <v>-1.22138188885021</v>
      </c>
      <c r="G23" s="35" t="n">
        <f aca="false">G22/underwriting!D28</f>
        <v>-1.57226582260123</v>
      </c>
      <c r="H23" s="35" t="n">
        <f aca="false">H22/underwriting!D28</f>
        <v>-1.92314975635225</v>
      </c>
      <c r="I23" s="35" t="n">
        <f aca="false">I22/underwriting!D28</f>
        <v>-2.27403369010326</v>
      </c>
      <c r="J23" s="35" t="n">
        <f aca="false">J22/underwriting!D28</f>
        <v>-2.62491762385428</v>
      </c>
      <c r="K23" s="35" t="n">
        <f aca="false">K22/underwriting!D28</f>
        <v>-2.97580155760529</v>
      </c>
      <c r="L23" s="35" t="n">
        <f aca="false">L22/underwriting!D28</f>
        <v>-3.32668549135631</v>
      </c>
    </row>
    <row r="24" customFormat="false" ht="15" hidden="false" customHeight="false" outlineLevel="0" collapsed="false">
      <c r="B24" s="28" t="s">
        <v>126</v>
      </c>
      <c r="C24" s="29" t="n">
        <f aca="false">underwriting!E63</f>
        <v>-0.442334448483701</v>
      </c>
      <c r="D24" s="29" t="n">
        <f aca="false">underwriting!E63</f>
        <v>-0.442334448483701</v>
      </c>
      <c r="E24" s="29" t="n">
        <f aca="false">underwriting!E63</f>
        <v>-0.442334448483701</v>
      </c>
      <c r="F24" s="29" t="n">
        <f aca="false">underwriting!E63</f>
        <v>-0.442334448483701</v>
      </c>
      <c r="G24" s="29" t="n">
        <f aca="false">underwriting!E63</f>
        <v>-0.442334448483701</v>
      </c>
      <c r="H24" s="29" t="n">
        <f aca="false">underwriting!E63</f>
        <v>-0.442334448483701</v>
      </c>
      <c r="I24" s="29" t="n">
        <f aca="false">underwriting!E63</f>
        <v>-0.442334448483701</v>
      </c>
      <c r="J24" s="29" t="n">
        <f aca="false">underwriting!E63</f>
        <v>-0.442334448483701</v>
      </c>
      <c r="K24" s="29" t="n">
        <f aca="false">underwriting!E63</f>
        <v>-0.442334448483701</v>
      </c>
      <c r="L24" s="29" t="n">
        <f aca="false">underwriting!E63</f>
        <v>-0.442334448483701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3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8" min="3" style="0" width="16"/>
  </cols>
  <sheetData>
    <row r="1" customFormat="false" ht="21.75" hidden="false" customHeight="true" outlineLevel="0" collapsed="false">
      <c r="B1" s="1" t="s">
        <v>127</v>
      </c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B2" s="3" t="s">
        <v>28</v>
      </c>
      <c r="C2" s="8" t="n">
        <f aca="false">underwriting!D14</f>
        <v>765000</v>
      </c>
    </row>
    <row r="3" customFormat="false" ht="15" hidden="false" customHeight="false" outlineLevel="0" collapsed="false">
      <c r="B3" s="3" t="s">
        <v>30</v>
      </c>
      <c r="C3" s="38" t="n">
        <f aca="false">underwriting!C15</f>
        <v>0.07</v>
      </c>
    </row>
    <row r="4" customFormat="false" ht="15" hidden="false" customHeight="false" outlineLevel="0" collapsed="false">
      <c r="B4" s="3" t="s">
        <v>128</v>
      </c>
      <c r="C4" s="39" t="n">
        <f aca="false">underwriting!C16</f>
        <v>30</v>
      </c>
    </row>
    <row r="5" customFormat="false" ht="15" hidden="false" customHeight="false" outlineLevel="0" collapsed="false">
      <c r="B5" s="3" t="s">
        <v>40</v>
      </c>
      <c r="C5" s="8" t="n">
        <f aca="false">underwriting!D20</f>
        <v>5089.56408812075</v>
      </c>
    </row>
    <row r="7" customFormat="false" ht="15.75" hidden="false" customHeight="true" outlineLevel="0" collapsed="false">
      <c r="B7" s="6" t="s">
        <v>129</v>
      </c>
      <c r="C7" s="6" t="s">
        <v>130</v>
      </c>
      <c r="D7" s="6" t="s">
        <v>131</v>
      </c>
      <c r="E7" s="6" t="s">
        <v>132</v>
      </c>
      <c r="F7" s="6" t="s">
        <v>133</v>
      </c>
      <c r="G7" s="6" t="s">
        <v>134</v>
      </c>
      <c r="H7" s="6" t="s">
        <v>135</v>
      </c>
    </row>
    <row r="8" customFormat="false" ht="15" hidden="false" customHeight="false" outlineLevel="0" collapsed="false">
      <c r="B8" s="40" t="n">
        <v>1</v>
      </c>
      <c r="C8" s="8" t="n">
        <f aca="false">underwriting!D14</f>
        <v>765000</v>
      </c>
      <c r="D8" s="8" t="n">
        <f aca="false">underwriting!D20</f>
        <v>5089.56408812075</v>
      </c>
      <c r="E8" s="8" t="n">
        <f aca="false">C8*underwriting!C15/12</f>
        <v>4462.5</v>
      </c>
      <c r="F8" s="8" t="n">
        <f aca="false">D8-E8</f>
        <v>627.064088120744</v>
      </c>
      <c r="G8" s="8" t="n">
        <f aca="false">C8-F8</f>
        <v>764372.935911879</v>
      </c>
      <c r="H8" s="8" t="n">
        <f aca="false">F8</f>
        <v>627.064088120744</v>
      </c>
    </row>
    <row r="9" customFormat="false" ht="15" hidden="false" customHeight="false" outlineLevel="0" collapsed="false">
      <c r="B9" s="40" t="n">
        <v>2</v>
      </c>
      <c r="C9" s="8" t="n">
        <f aca="false">G8</f>
        <v>764372.935911879</v>
      </c>
      <c r="D9" s="8" t="n">
        <f aca="false">underwriting!D20</f>
        <v>5089.56408812075</v>
      </c>
      <c r="E9" s="8" t="n">
        <f aca="false">C9*underwriting!C15/12</f>
        <v>4458.84212615263</v>
      </c>
      <c r="F9" s="8" t="n">
        <f aca="false">D9-E9</f>
        <v>630.721961968115</v>
      </c>
      <c r="G9" s="8" t="n">
        <f aca="false">C9-F9</f>
        <v>763742.213949911</v>
      </c>
      <c r="H9" s="8" t="n">
        <f aca="false">H8+F9</f>
        <v>1257.78605008886</v>
      </c>
    </row>
    <row r="10" customFormat="false" ht="15" hidden="false" customHeight="false" outlineLevel="0" collapsed="false">
      <c r="B10" s="40" t="n">
        <v>3</v>
      </c>
      <c r="C10" s="8" t="n">
        <f aca="false">G9</f>
        <v>763742.213949911</v>
      </c>
      <c r="D10" s="8" t="n">
        <f aca="false">underwriting!D20</f>
        <v>5089.56408812075</v>
      </c>
      <c r="E10" s="8" t="n">
        <f aca="false">C10*underwriting!C15/12</f>
        <v>4455.16291470782</v>
      </c>
      <c r="F10" s="8" t="n">
        <f aca="false">D10-E10</f>
        <v>634.401173412929</v>
      </c>
      <c r="G10" s="8" t="n">
        <f aca="false">C10-F10</f>
        <v>763107.812776498</v>
      </c>
      <c r="H10" s="8" t="n">
        <f aca="false">H9+F10</f>
        <v>1892.18722350179</v>
      </c>
    </row>
    <row r="11" customFormat="false" ht="15" hidden="false" customHeight="false" outlineLevel="0" collapsed="false">
      <c r="B11" s="40" t="n">
        <v>4</v>
      </c>
      <c r="C11" s="8" t="n">
        <f aca="false">G10</f>
        <v>763107.812776498</v>
      </c>
      <c r="D11" s="8" t="n">
        <f aca="false">underwriting!D20</f>
        <v>5089.56408812075</v>
      </c>
      <c r="E11" s="8" t="n">
        <f aca="false">C11*underwriting!C15/12</f>
        <v>4451.46224119624</v>
      </c>
      <c r="F11" s="8" t="n">
        <f aca="false">D11-E11</f>
        <v>638.101846924505</v>
      </c>
      <c r="G11" s="8" t="n">
        <f aca="false">C11-F11</f>
        <v>762469.710929574</v>
      </c>
      <c r="H11" s="8" t="n">
        <f aca="false">H10+F11</f>
        <v>2530.28907042629</v>
      </c>
    </row>
    <row r="12" customFormat="false" ht="15" hidden="false" customHeight="false" outlineLevel="0" collapsed="false">
      <c r="B12" s="40" t="n">
        <v>5</v>
      </c>
      <c r="C12" s="8" t="n">
        <f aca="false">G11</f>
        <v>762469.710929574</v>
      </c>
      <c r="D12" s="8" t="n">
        <f aca="false">underwriting!D20</f>
        <v>5089.56408812075</v>
      </c>
      <c r="E12" s="8" t="n">
        <f aca="false">C12*underwriting!C15/12</f>
        <v>4447.73998042251</v>
      </c>
      <c r="F12" s="8" t="n">
        <f aca="false">D12-E12</f>
        <v>641.82410769823</v>
      </c>
      <c r="G12" s="8" t="n">
        <f aca="false">C12-F12</f>
        <v>761827.886821876</v>
      </c>
      <c r="H12" s="8" t="n">
        <f aca="false">H11+F12</f>
        <v>3172.11317812452</v>
      </c>
    </row>
    <row r="13" customFormat="false" ht="15" hidden="false" customHeight="false" outlineLevel="0" collapsed="false">
      <c r="B13" s="40" t="n">
        <v>6</v>
      </c>
      <c r="C13" s="8" t="n">
        <f aca="false">G12</f>
        <v>761827.886821876</v>
      </c>
      <c r="D13" s="8" t="n">
        <f aca="false">underwriting!D20</f>
        <v>5089.56408812075</v>
      </c>
      <c r="E13" s="8" t="n">
        <f aca="false">C13*underwriting!C15/12</f>
        <v>4443.99600646094</v>
      </c>
      <c r="F13" s="8" t="n">
        <f aca="false">D13-E13</f>
        <v>645.568081659804</v>
      </c>
      <c r="G13" s="8" t="n">
        <f aca="false">C13-F13</f>
        <v>761182.318740216</v>
      </c>
      <c r="H13" s="8" t="n">
        <f aca="false">H12+F13</f>
        <v>3817.68125978433</v>
      </c>
    </row>
    <row r="14" customFormat="false" ht="15" hidden="false" customHeight="false" outlineLevel="0" collapsed="false">
      <c r="B14" s="40" t="n">
        <v>7</v>
      </c>
      <c r="C14" s="8" t="n">
        <f aca="false">G13</f>
        <v>761182.318740216</v>
      </c>
      <c r="D14" s="8" t="n">
        <f aca="false">underwriting!D20</f>
        <v>5089.56408812075</v>
      </c>
      <c r="E14" s="8" t="n">
        <f aca="false">C14*underwriting!C15/12</f>
        <v>4440.23019265126</v>
      </c>
      <c r="F14" s="8" t="n">
        <f aca="false">D14-E14</f>
        <v>649.333895469486</v>
      </c>
      <c r="G14" s="8" t="n">
        <f aca="false">C14-F14</f>
        <v>760532.984844746</v>
      </c>
      <c r="H14" s="8" t="n">
        <f aca="false">H13+F14</f>
        <v>4467.01515525381</v>
      </c>
    </row>
    <row r="15" customFormat="false" ht="15" hidden="false" customHeight="false" outlineLevel="0" collapsed="false">
      <c r="B15" s="40" t="n">
        <v>8</v>
      </c>
      <c r="C15" s="8" t="n">
        <f aca="false">G14</f>
        <v>760532.984844746</v>
      </c>
      <c r="D15" s="8" t="n">
        <f aca="false">underwriting!D20</f>
        <v>5089.56408812075</v>
      </c>
      <c r="E15" s="8" t="n">
        <f aca="false">C15*underwriting!C15/12</f>
        <v>4436.44241159435</v>
      </c>
      <c r="F15" s="8" t="n">
        <f aca="false">D15-E15</f>
        <v>653.121676526392</v>
      </c>
      <c r="G15" s="8" t="n">
        <f aca="false">C15-F15</f>
        <v>759879.86316822</v>
      </c>
      <c r="H15" s="8" t="n">
        <f aca="false">H14+F15</f>
        <v>5120.1368317802</v>
      </c>
    </row>
    <row r="16" customFormat="false" ht="15" hidden="false" customHeight="false" outlineLevel="0" collapsed="false">
      <c r="B16" s="40" t="n">
        <v>9</v>
      </c>
      <c r="C16" s="8" t="n">
        <f aca="false">G15</f>
        <v>759879.86316822</v>
      </c>
      <c r="D16" s="8" t="n">
        <f aca="false">underwriting!D20</f>
        <v>5089.56408812075</v>
      </c>
      <c r="E16" s="8" t="n">
        <f aca="false">C16*underwriting!C15/12</f>
        <v>4432.63253514795</v>
      </c>
      <c r="F16" s="8" t="n">
        <f aca="false">D16-E16</f>
        <v>656.931552972796</v>
      </c>
      <c r="G16" s="8" t="n">
        <f aca="false">C16-F16</f>
        <v>759222.931615247</v>
      </c>
      <c r="H16" s="8" t="n">
        <f aca="false">H15+F16</f>
        <v>5777.068384753</v>
      </c>
    </row>
    <row r="17" customFormat="false" ht="15" hidden="false" customHeight="false" outlineLevel="0" collapsed="false">
      <c r="B17" s="40" t="n">
        <v>10</v>
      </c>
      <c r="C17" s="8" t="n">
        <f aca="false">G16</f>
        <v>759222.931615247</v>
      </c>
      <c r="D17" s="8" t="n">
        <f aca="false">underwriting!D20</f>
        <v>5089.56408812075</v>
      </c>
      <c r="E17" s="8" t="n">
        <f aca="false">C17*underwriting!C15/12</f>
        <v>4428.80043442227</v>
      </c>
      <c r="F17" s="8" t="n">
        <f aca="false">D17-E17</f>
        <v>660.76365369847</v>
      </c>
      <c r="G17" s="8" t="n">
        <f aca="false">C17-F17</f>
        <v>758562.167961549</v>
      </c>
      <c r="H17" s="8" t="n">
        <f aca="false">H16+F17</f>
        <v>6437.83203845147</v>
      </c>
    </row>
    <row r="18" customFormat="false" ht="15" hidden="false" customHeight="false" outlineLevel="0" collapsed="false">
      <c r="B18" s="40" t="n">
        <v>11</v>
      </c>
      <c r="C18" s="8" t="n">
        <f aca="false">G17</f>
        <v>758562.167961549</v>
      </c>
      <c r="D18" s="8" t="n">
        <f aca="false">underwriting!D20</f>
        <v>5089.56408812075</v>
      </c>
      <c r="E18" s="8" t="n">
        <f aca="false">C18*underwriting!C15/12</f>
        <v>4424.9459797757</v>
      </c>
      <c r="F18" s="8" t="n">
        <f aca="false">D18-E18</f>
        <v>664.618108345045</v>
      </c>
      <c r="G18" s="8" t="n">
        <f aca="false">C18-F18</f>
        <v>757897.549853204</v>
      </c>
      <c r="H18" s="8" t="n">
        <f aca="false">H17+F18</f>
        <v>7102.45014679652</v>
      </c>
    </row>
    <row r="19" customFormat="false" ht="15" hidden="false" customHeight="false" outlineLevel="0" collapsed="false">
      <c r="B19" s="40" t="n">
        <v>12</v>
      </c>
      <c r="C19" s="8" t="n">
        <f aca="false">G18</f>
        <v>757897.549853204</v>
      </c>
      <c r="D19" s="8" t="n">
        <f aca="false">underwriting!D20</f>
        <v>5089.56408812075</v>
      </c>
      <c r="E19" s="8" t="n">
        <f aca="false">C19*underwriting!C15/12</f>
        <v>4421.06904081035</v>
      </c>
      <c r="F19" s="8" t="n">
        <f aca="false">D19-E19</f>
        <v>668.495047310391</v>
      </c>
      <c r="G19" s="8" t="n">
        <f aca="false">C19-F19</f>
        <v>757229.054805893</v>
      </c>
      <c r="H19" s="8" t="n">
        <f aca="false">H18+F19</f>
        <v>7770.94519410691</v>
      </c>
    </row>
    <row r="20" customFormat="false" ht="15" hidden="false" customHeight="false" outlineLevel="0" collapsed="false">
      <c r="B20" s="40" t="n">
        <v>13</v>
      </c>
      <c r="C20" s="8" t="n">
        <f aca="false">G19</f>
        <v>757229.054805893</v>
      </c>
      <c r="D20" s="8" t="n">
        <f aca="false">underwriting!D20</f>
        <v>5089.56408812075</v>
      </c>
      <c r="E20" s="8" t="n">
        <f aca="false">C20*underwriting!C15/12</f>
        <v>4417.16948636771</v>
      </c>
      <c r="F20" s="8" t="n">
        <f aca="false">D20-E20</f>
        <v>672.394601753034</v>
      </c>
      <c r="G20" s="8" t="n">
        <f aca="false">C20-F20</f>
        <v>756556.66020414</v>
      </c>
      <c r="H20" s="8" t="n">
        <f aca="false">H19+F20</f>
        <v>8443.33979585994</v>
      </c>
    </row>
    <row r="21" customFormat="false" ht="15" hidden="false" customHeight="false" outlineLevel="0" collapsed="false">
      <c r="B21" s="40" t="n">
        <v>14</v>
      </c>
      <c r="C21" s="8" t="n">
        <f aca="false">G20</f>
        <v>756556.66020414</v>
      </c>
      <c r="D21" s="8" t="n">
        <f aca="false">underwriting!D20</f>
        <v>5089.56408812075</v>
      </c>
      <c r="E21" s="8" t="n">
        <f aca="false">C21*underwriting!C15/12</f>
        <v>4413.24718452415</v>
      </c>
      <c r="F21" s="8" t="n">
        <f aca="false">D21-E21</f>
        <v>676.316903596593</v>
      </c>
      <c r="G21" s="8" t="n">
        <f aca="false">C21-F21</f>
        <v>755880.343300544</v>
      </c>
      <c r="H21" s="8" t="n">
        <f aca="false">H20+F21</f>
        <v>9119.65669945653</v>
      </c>
    </row>
    <row r="22" customFormat="false" ht="15" hidden="false" customHeight="false" outlineLevel="0" collapsed="false">
      <c r="B22" s="40" t="n">
        <v>15</v>
      </c>
      <c r="C22" s="8" t="n">
        <f aca="false">G21</f>
        <v>755880.343300544</v>
      </c>
      <c r="D22" s="8" t="n">
        <f aca="false">underwriting!D20</f>
        <v>5089.56408812075</v>
      </c>
      <c r="E22" s="8" t="n">
        <f aca="false">C22*underwriting!C15/12</f>
        <v>4409.3020025865</v>
      </c>
      <c r="F22" s="8" t="n">
        <f aca="false">D22-E22</f>
        <v>680.26208553424</v>
      </c>
      <c r="G22" s="8" t="n">
        <f aca="false">C22-F22</f>
        <v>755200.081215009</v>
      </c>
      <c r="H22" s="8" t="n">
        <f aca="false">H21+F22</f>
        <v>9799.91878499077</v>
      </c>
    </row>
    <row r="23" customFormat="false" ht="15" hidden="false" customHeight="false" outlineLevel="0" collapsed="false">
      <c r="B23" s="40" t="n">
        <v>16</v>
      </c>
      <c r="C23" s="8" t="n">
        <f aca="false">G22</f>
        <v>755200.081215009</v>
      </c>
      <c r="D23" s="8" t="n">
        <f aca="false">underwriting!D20</f>
        <v>5089.56408812075</v>
      </c>
      <c r="E23" s="8" t="n">
        <f aca="false">C23*underwriting!C15/12</f>
        <v>4405.33380708755</v>
      </c>
      <c r="F23" s="8" t="n">
        <f aca="false">D23-E23</f>
        <v>684.23028103319</v>
      </c>
      <c r="G23" s="8" t="n">
        <f aca="false">C23-F23</f>
        <v>754515.850933976</v>
      </c>
      <c r="H23" s="8" t="n">
        <f aca="false">H22+F23</f>
        <v>10484.149066024</v>
      </c>
    </row>
    <row r="24" customFormat="false" ht="15" hidden="false" customHeight="false" outlineLevel="0" collapsed="false">
      <c r="B24" s="40" t="n">
        <v>17</v>
      </c>
      <c r="C24" s="8" t="n">
        <f aca="false">G23</f>
        <v>754515.850933976</v>
      </c>
      <c r="D24" s="8" t="n">
        <f aca="false">underwriting!D20</f>
        <v>5089.56408812075</v>
      </c>
      <c r="E24" s="8" t="n">
        <f aca="false">C24*underwriting!C15/12</f>
        <v>4401.34246378153</v>
      </c>
      <c r="F24" s="8" t="n">
        <f aca="false">D24-E24</f>
        <v>688.221624339218</v>
      </c>
      <c r="G24" s="8" t="n">
        <f aca="false">C24-F24</f>
        <v>753827.629309637</v>
      </c>
      <c r="H24" s="8" t="n">
        <f aca="false">H23+F24</f>
        <v>11172.3706903632</v>
      </c>
    </row>
    <row r="25" customFormat="false" ht="15" hidden="false" customHeight="false" outlineLevel="0" collapsed="false">
      <c r="B25" s="40" t="n">
        <v>18</v>
      </c>
      <c r="C25" s="8" t="n">
        <f aca="false">G24</f>
        <v>753827.629309637</v>
      </c>
      <c r="D25" s="8" t="n">
        <f aca="false">underwriting!D20</f>
        <v>5089.56408812075</v>
      </c>
      <c r="E25" s="8" t="n">
        <f aca="false">C25*underwriting!C15/12</f>
        <v>4397.32783763955</v>
      </c>
      <c r="F25" s="8" t="n">
        <f aca="false">D25-E25</f>
        <v>692.236250481196</v>
      </c>
      <c r="G25" s="8" t="n">
        <f aca="false">C25-F25</f>
        <v>753135.393059156</v>
      </c>
      <c r="H25" s="8" t="n">
        <f aca="false">H24+F25</f>
        <v>11864.6069408444</v>
      </c>
    </row>
    <row r="26" customFormat="false" ht="15" hidden="false" customHeight="false" outlineLevel="0" collapsed="false">
      <c r="B26" s="40" t="n">
        <v>19</v>
      </c>
      <c r="C26" s="8" t="n">
        <f aca="false">G25</f>
        <v>753135.393059156</v>
      </c>
      <c r="D26" s="8" t="n">
        <f aca="false">underwriting!D20</f>
        <v>5089.56408812075</v>
      </c>
      <c r="E26" s="8" t="n">
        <f aca="false">C26*underwriting!C15/12</f>
        <v>4393.28979284508</v>
      </c>
      <c r="F26" s="8" t="n">
        <f aca="false">D26-E26</f>
        <v>696.27429527567</v>
      </c>
      <c r="G26" s="8" t="n">
        <f aca="false">C26-F26</f>
        <v>752439.11876388</v>
      </c>
      <c r="H26" s="8" t="n">
        <f aca="false">H25+F26</f>
        <v>12560.88123612</v>
      </c>
    </row>
    <row r="27" customFormat="false" ht="15" hidden="false" customHeight="false" outlineLevel="0" collapsed="false">
      <c r="B27" s="40" t="n">
        <v>20</v>
      </c>
      <c r="C27" s="8" t="n">
        <f aca="false">G26</f>
        <v>752439.11876388</v>
      </c>
      <c r="D27" s="8" t="n">
        <f aca="false">underwriting!D20</f>
        <v>5089.56408812075</v>
      </c>
      <c r="E27" s="8" t="n">
        <f aca="false">C27*underwriting!C15/12</f>
        <v>4389.2281927893</v>
      </c>
      <c r="F27" s="8" t="n">
        <f aca="false">D27-E27</f>
        <v>700.335895331446</v>
      </c>
      <c r="G27" s="8" t="n">
        <f aca="false">C27-F27</f>
        <v>751738.782868548</v>
      </c>
      <c r="H27" s="8" t="n">
        <f aca="false">H26+F27</f>
        <v>13261.2171314515</v>
      </c>
    </row>
    <row r="28" customFormat="false" ht="15" hidden="false" customHeight="false" outlineLevel="0" collapsed="false">
      <c r="B28" s="40" t="n">
        <v>21</v>
      </c>
      <c r="C28" s="8" t="n">
        <f aca="false">G27</f>
        <v>751738.782868548</v>
      </c>
      <c r="D28" s="8" t="n">
        <f aca="false">underwriting!D20</f>
        <v>5089.56408812075</v>
      </c>
      <c r="E28" s="8" t="n">
        <f aca="false">C28*underwriting!C15/12</f>
        <v>4385.14290006653</v>
      </c>
      <c r="F28" s="8" t="n">
        <f aca="false">D28-E28</f>
        <v>704.421188054212</v>
      </c>
      <c r="G28" s="8" t="n">
        <f aca="false">C28-F28</f>
        <v>751034.361680494</v>
      </c>
      <c r="H28" s="8" t="n">
        <f aca="false">H27+F28</f>
        <v>13965.6383195057</v>
      </c>
    </row>
    <row r="29" customFormat="false" ht="15" hidden="false" customHeight="false" outlineLevel="0" collapsed="false">
      <c r="B29" s="40" t="n">
        <v>22</v>
      </c>
      <c r="C29" s="8" t="n">
        <f aca="false">G28</f>
        <v>751034.361680494</v>
      </c>
      <c r="D29" s="8" t="n">
        <f aca="false">underwriting!D20</f>
        <v>5089.56408812075</v>
      </c>
      <c r="E29" s="8" t="n">
        <f aca="false">C29*underwriting!C15/12</f>
        <v>4381.03377646955</v>
      </c>
      <c r="F29" s="8" t="n">
        <f aca="false">D29-E29</f>
        <v>708.530311651195</v>
      </c>
      <c r="G29" s="8" t="n">
        <f aca="false">C29-F29</f>
        <v>750325.831368843</v>
      </c>
      <c r="H29" s="8" t="n">
        <f aca="false">H28+F29</f>
        <v>14674.1686311569</v>
      </c>
    </row>
    <row r="30" customFormat="false" ht="15" hidden="false" customHeight="false" outlineLevel="0" collapsed="false">
      <c r="B30" s="40" t="n">
        <v>23</v>
      </c>
      <c r="C30" s="8" t="n">
        <f aca="false">G29</f>
        <v>750325.831368843</v>
      </c>
      <c r="D30" s="8" t="n">
        <f aca="false">underwriting!D20</f>
        <v>5089.56408812075</v>
      </c>
      <c r="E30" s="8" t="n">
        <f aca="false">C30*underwriting!C15/12</f>
        <v>4376.90068298492</v>
      </c>
      <c r="F30" s="8" t="n">
        <f aca="false">D30-E30</f>
        <v>712.663405135827</v>
      </c>
      <c r="G30" s="8" t="n">
        <f aca="false">C30-F30</f>
        <v>749613.167963707</v>
      </c>
      <c r="H30" s="8" t="n">
        <f aca="false">H29+F30</f>
        <v>15386.8320362927</v>
      </c>
    </row>
    <row r="31" customFormat="false" ht="15" hidden="false" customHeight="false" outlineLevel="0" collapsed="false">
      <c r="B31" s="40" t="n">
        <v>24</v>
      </c>
      <c r="C31" s="8" t="n">
        <f aca="false">G30</f>
        <v>749613.167963707</v>
      </c>
      <c r="D31" s="8" t="n">
        <f aca="false">underwriting!D20</f>
        <v>5089.56408812075</v>
      </c>
      <c r="E31" s="8" t="n">
        <f aca="false">C31*underwriting!C15/12</f>
        <v>4372.74347978829</v>
      </c>
      <c r="F31" s="8" t="n">
        <f aca="false">D31-E31</f>
        <v>716.820608332453</v>
      </c>
      <c r="G31" s="8" t="n">
        <f aca="false">C31-F31</f>
        <v>748896.347355375</v>
      </c>
      <c r="H31" s="8" t="n">
        <f aca="false">H30+F31</f>
        <v>16103.6526446252</v>
      </c>
    </row>
    <row r="32" customFormat="false" ht="15" hidden="false" customHeight="false" outlineLevel="0" collapsed="false">
      <c r="B32" s="40" t="n">
        <v>25</v>
      </c>
      <c r="C32" s="8" t="n">
        <f aca="false">G31</f>
        <v>748896.347355375</v>
      </c>
      <c r="D32" s="8" t="n">
        <f aca="false">underwriting!D20</f>
        <v>5089.56408812075</v>
      </c>
      <c r="E32" s="8" t="n">
        <f aca="false">C32*underwriting!C15/12</f>
        <v>4368.56202623969</v>
      </c>
      <c r="F32" s="8" t="n">
        <f aca="false">D32-E32</f>
        <v>721.002061881059</v>
      </c>
      <c r="G32" s="8" t="n">
        <f aca="false">C32-F32</f>
        <v>748175.345293494</v>
      </c>
      <c r="H32" s="8" t="n">
        <f aca="false">H31+F32</f>
        <v>16824.6547065062</v>
      </c>
    </row>
    <row r="33" customFormat="false" ht="15" hidden="false" customHeight="false" outlineLevel="0" collapsed="false">
      <c r="B33" s="40" t="n">
        <v>26</v>
      </c>
      <c r="C33" s="8" t="n">
        <f aca="false">G32</f>
        <v>748175.345293494</v>
      </c>
      <c r="D33" s="8" t="n">
        <f aca="false">underwriting!D20</f>
        <v>5089.56408812075</v>
      </c>
      <c r="E33" s="8" t="n">
        <f aca="false">C33*underwriting!C15/12</f>
        <v>4364.35618087871</v>
      </c>
      <c r="F33" s="8" t="n">
        <f aca="false">D33-E33</f>
        <v>725.207907242031</v>
      </c>
      <c r="G33" s="8" t="n">
        <f aca="false">C33-F33</f>
        <v>747450.137386252</v>
      </c>
      <c r="H33" s="8" t="n">
        <f aca="false">H32+F33</f>
        <v>17549.8626137483</v>
      </c>
    </row>
    <row r="34" customFormat="false" ht="15" hidden="false" customHeight="false" outlineLevel="0" collapsed="false">
      <c r="B34" s="40" t="n">
        <v>27</v>
      </c>
      <c r="C34" s="8" t="n">
        <f aca="false">G33</f>
        <v>747450.137386252</v>
      </c>
      <c r="D34" s="8" t="n">
        <f aca="false">underwriting!D20</f>
        <v>5089.56408812075</v>
      </c>
      <c r="E34" s="8" t="n">
        <f aca="false">C34*underwriting!C15/12</f>
        <v>4360.1258014198</v>
      </c>
      <c r="F34" s="8" t="n">
        <f aca="false">D34-E34</f>
        <v>729.438286700943</v>
      </c>
      <c r="G34" s="8" t="n">
        <f aca="false">C34-F34</f>
        <v>746720.699099551</v>
      </c>
      <c r="H34" s="8" t="n">
        <f aca="false">H33+F34</f>
        <v>18279.3009004492</v>
      </c>
    </row>
    <row r="35" customFormat="false" ht="15" hidden="false" customHeight="false" outlineLevel="0" collapsed="false">
      <c r="B35" s="40" t="n">
        <v>28</v>
      </c>
      <c r="C35" s="8" t="n">
        <f aca="false">G34</f>
        <v>746720.699099551</v>
      </c>
      <c r="D35" s="8" t="n">
        <f aca="false">underwriting!D20</f>
        <v>5089.56408812075</v>
      </c>
      <c r="E35" s="8" t="n">
        <f aca="false">C35*underwriting!C15/12</f>
        <v>4355.87074474738</v>
      </c>
      <c r="F35" s="8" t="n">
        <f aca="false">D35-E35</f>
        <v>733.693343373365</v>
      </c>
      <c r="G35" s="8" t="n">
        <f aca="false">C35-F35</f>
        <v>745987.005756177</v>
      </c>
      <c r="H35" s="8" t="n">
        <f aca="false">H34+F35</f>
        <v>19012.9942438226</v>
      </c>
    </row>
    <row r="36" customFormat="false" ht="15" hidden="false" customHeight="false" outlineLevel="0" collapsed="false">
      <c r="B36" s="40" t="n">
        <v>29</v>
      </c>
      <c r="C36" s="8" t="n">
        <f aca="false">G35</f>
        <v>745987.005756177</v>
      </c>
      <c r="D36" s="8" t="n">
        <f aca="false">underwriting!D20</f>
        <v>5089.56408812075</v>
      </c>
      <c r="E36" s="8" t="n">
        <f aca="false">C36*underwriting!C15/12</f>
        <v>4351.59086691104</v>
      </c>
      <c r="F36" s="8" t="n">
        <f aca="false">D36-E36</f>
        <v>737.97322120971</v>
      </c>
      <c r="G36" s="8" t="n">
        <f aca="false">C36-F36</f>
        <v>745249.032534968</v>
      </c>
      <c r="H36" s="8" t="n">
        <f aca="false">H35+F36</f>
        <v>19750.9674650323</v>
      </c>
    </row>
    <row r="37" customFormat="false" ht="15" hidden="false" customHeight="false" outlineLevel="0" collapsed="false">
      <c r="B37" s="40" t="n">
        <v>30</v>
      </c>
      <c r="C37" s="8" t="n">
        <f aca="false">G36</f>
        <v>745249.032534968</v>
      </c>
      <c r="D37" s="8" t="n">
        <f aca="false">underwriting!D20</f>
        <v>5089.56408812075</v>
      </c>
      <c r="E37" s="8" t="n">
        <f aca="false">C37*underwriting!C15/12</f>
        <v>4347.28602312065</v>
      </c>
      <c r="F37" s="8" t="n">
        <f aca="false">D37-E37</f>
        <v>742.2780650001</v>
      </c>
      <c r="G37" s="8" t="n">
        <f aca="false">C37-F37</f>
        <v>744506.754469968</v>
      </c>
      <c r="H37" s="8" t="n">
        <f aca="false">H36+F37</f>
        <v>20493.2455300324</v>
      </c>
    </row>
    <row r="38" customFormat="false" ht="15" hidden="false" customHeight="false" outlineLevel="0" collapsed="false">
      <c r="B38" s="40" t="n">
        <v>31</v>
      </c>
      <c r="C38" s="8" t="n">
        <f aca="false">G37</f>
        <v>744506.754469968</v>
      </c>
      <c r="D38" s="8" t="n">
        <f aca="false">underwriting!D20</f>
        <v>5089.56408812075</v>
      </c>
      <c r="E38" s="8" t="n">
        <f aca="false">C38*underwriting!C15/12</f>
        <v>4342.95606774148</v>
      </c>
      <c r="F38" s="8" t="n">
        <f aca="false">D38-E38</f>
        <v>746.608020379266</v>
      </c>
      <c r="G38" s="8" t="n">
        <f aca="false">C38-F38</f>
        <v>743760.146449588</v>
      </c>
      <c r="H38" s="8" t="n">
        <f aca="false">H37+F38</f>
        <v>21239.8535504117</v>
      </c>
    </row>
    <row r="39" customFormat="false" ht="15" hidden="false" customHeight="false" outlineLevel="0" collapsed="false">
      <c r="B39" s="40" t="n">
        <v>32</v>
      </c>
      <c r="C39" s="8" t="n">
        <f aca="false">G38</f>
        <v>743760.146449588</v>
      </c>
      <c r="D39" s="8" t="n">
        <f aca="false">underwriting!D20</f>
        <v>5089.56408812075</v>
      </c>
      <c r="E39" s="8" t="n">
        <f aca="false">C39*underwriting!C15/12</f>
        <v>4338.60085428927</v>
      </c>
      <c r="F39" s="8" t="n">
        <f aca="false">D39-E39</f>
        <v>750.96323383148</v>
      </c>
      <c r="G39" s="8" t="n">
        <f aca="false">C39-F39</f>
        <v>743009.183215757</v>
      </c>
      <c r="H39" s="8" t="n">
        <f aca="false">H38+F39</f>
        <v>21990.8167842431</v>
      </c>
    </row>
    <row r="40" customFormat="false" ht="15" hidden="false" customHeight="false" outlineLevel="0" collapsed="false">
      <c r="B40" s="40" t="n">
        <v>33</v>
      </c>
      <c r="C40" s="8" t="n">
        <f aca="false">G39</f>
        <v>743009.183215757</v>
      </c>
      <c r="D40" s="8" t="n">
        <f aca="false">underwriting!D20</f>
        <v>5089.56408812075</v>
      </c>
      <c r="E40" s="8" t="n">
        <f aca="false">C40*underwriting!C15/12</f>
        <v>4334.22023542525</v>
      </c>
      <c r="F40" s="8" t="n">
        <f aca="false">D40-E40</f>
        <v>755.343852695496</v>
      </c>
      <c r="G40" s="8" t="n">
        <f aca="false">C40-F40</f>
        <v>742253.839363061</v>
      </c>
      <c r="H40" s="8" t="n">
        <f aca="false">H39+F40</f>
        <v>22746.1606369386</v>
      </c>
    </row>
    <row r="41" customFormat="false" ht="15" hidden="false" customHeight="false" outlineLevel="0" collapsed="false">
      <c r="B41" s="40" t="n">
        <v>34</v>
      </c>
      <c r="C41" s="8" t="n">
        <f aca="false">G40</f>
        <v>742253.839363061</v>
      </c>
      <c r="D41" s="8" t="n">
        <f aca="false">underwriting!D20</f>
        <v>5089.56408812075</v>
      </c>
      <c r="E41" s="8" t="n">
        <f aca="false">C41*underwriting!C15/12</f>
        <v>4329.81406295119</v>
      </c>
      <c r="F41" s="8" t="n">
        <f aca="false">D41-E41</f>
        <v>759.750025169554</v>
      </c>
      <c r="G41" s="8" t="n">
        <f aca="false">C41-F41</f>
        <v>741494.089337892</v>
      </c>
      <c r="H41" s="8" t="n">
        <f aca="false">H40+F41</f>
        <v>23505.9106621082</v>
      </c>
    </row>
    <row r="42" customFormat="false" ht="15" hidden="false" customHeight="false" outlineLevel="0" collapsed="false">
      <c r="B42" s="40" t="n">
        <v>35</v>
      </c>
      <c r="C42" s="8" t="n">
        <f aca="false">G41</f>
        <v>741494.089337892</v>
      </c>
      <c r="D42" s="8" t="n">
        <f aca="false">underwriting!D20</f>
        <v>5089.56408812075</v>
      </c>
      <c r="E42" s="8" t="n">
        <f aca="false">C42*underwriting!C15/12</f>
        <v>4325.38218780437</v>
      </c>
      <c r="F42" s="8" t="n">
        <f aca="false">D42-E42</f>
        <v>764.181900316376</v>
      </c>
      <c r="G42" s="8" t="n">
        <f aca="false">C42-F42</f>
        <v>740729.907437575</v>
      </c>
      <c r="H42" s="8" t="n">
        <f aca="false">H41+F42</f>
        <v>24270.0925624246</v>
      </c>
    </row>
    <row r="43" customFormat="false" ht="15" hidden="false" customHeight="false" outlineLevel="0" collapsed="false">
      <c r="B43" s="40" t="n">
        <v>36</v>
      </c>
      <c r="C43" s="8" t="n">
        <f aca="false">G42</f>
        <v>740729.907437575</v>
      </c>
      <c r="D43" s="8" t="n">
        <f aca="false">underwriting!D20</f>
        <v>5089.56408812075</v>
      </c>
      <c r="E43" s="8" t="n">
        <f aca="false">C43*underwriting!C15/12</f>
        <v>4320.92446005252</v>
      </c>
      <c r="F43" s="8" t="n">
        <f aca="false">D43-E43</f>
        <v>768.639628068222</v>
      </c>
      <c r="G43" s="8" t="n">
        <f aca="false">C43-F43</f>
        <v>739961.267809507</v>
      </c>
      <c r="H43" s="8" t="n">
        <f aca="false">H42+F43</f>
        <v>25038.7321904928</v>
      </c>
    </row>
    <row r="44" customFormat="false" ht="15" hidden="false" customHeight="false" outlineLevel="0" collapsed="false">
      <c r="B44" s="40" t="n">
        <v>37</v>
      </c>
      <c r="C44" s="8" t="n">
        <f aca="false">G43</f>
        <v>739961.267809507</v>
      </c>
      <c r="D44" s="8" t="n">
        <f aca="false">underwriting!D20</f>
        <v>5089.56408812075</v>
      </c>
      <c r="E44" s="8" t="n">
        <f aca="false">C44*underwriting!C15/12</f>
        <v>4316.44072888879</v>
      </c>
      <c r="F44" s="8" t="n">
        <f aca="false">D44-E44</f>
        <v>773.123359231953</v>
      </c>
      <c r="G44" s="8" t="n">
        <f aca="false">C44-F44</f>
        <v>739188.144450275</v>
      </c>
      <c r="H44" s="8" t="n">
        <f aca="false">H43+F44</f>
        <v>25811.8555497247</v>
      </c>
    </row>
    <row r="45" customFormat="false" ht="15" hidden="false" customHeight="false" outlineLevel="0" collapsed="false">
      <c r="B45" s="40" t="n">
        <v>38</v>
      </c>
      <c r="C45" s="8" t="n">
        <f aca="false">G44</f>
        <v>739188.144450275</v>
      </c>
      <c r="D45" s="8" t="n">
        <f aca="false">underwriting!D20</f>
        <v>5089.56408812075</v>
      </c>
      <c r="E45" s="8" t="n">
        <f aca="false">C45*underwriting!C15/12</f>
        <v>4311.93084262661</v>
      </c>
      <c r="F45" s="8" t="n">
        <f aca="false">D45-E45</f>
        <v>777.633245494139</v>
      </c>
      <c r="G45" s="8" t="n">
        <f aca="false">C45-F45</f>
        <v>738410.511204781</v>
      </c>
      <c r="H45" s="8" t="n">
        <f aca="false">H44+F45</f>
        <v>26589.4887952189</v>
      </c>
    </row>
    <row r="46" customFormat="false" ht="15" hidden="false" customHeight="false" outlineLevel="0" collapsed="false">
      <c r="B46" s="40" t="n">
        <v>39</v>
      </c>
      <c r="C46" s="8" t="n">
        <f aca="false">G45</f>
        <v>738410.511204781</v>
      </c>
      <c r="D46" s="8" t="n">
        <f aca="false">underwriting!D20</f>
        <v>5089.56408812075</v>
      </c>
      <c r="E46" s="8" t="n">
        <f aca="false">C46*underwriting!C15/12</f>
        <v>4307.39464869456</v>
      </c>
      <c r="F46" s="8" t="n">
        <f aca="false">D46-E46</f>
        <v>782.169439426189</v>
      </c>
      <c r="G46" s="8" t="n">
        <f aca="false">C46-F46</f>
        <v>737628.341765355</v>
      </c>
      <c r="H46" s="8" t="n">
        <f aca="false">H45+F46</f>
        <v>27371.6582346451</v>
      </c>
    </row>
    <row r="47" customFormat="false" ht="15" hidden="false" customHeight="false" outlineLevel="0" collapsed="false">
      <c r="B47" s="40" t="n">
        <v>40</v>
      </c>
      <c r="C47" s="8" t="n">
        <f aca="false">G46</f>
        <v>737628.341765355</v>
      </c>
      <c r="D47" s="8" t="n">
        <f aca="false">underwriting!D20</f>
        <v>5089.56408812075</v>
      </c>
      <c r="E47" s="8" t="n">
        <f aca="false">C47*underwriting!C15/12</f>
        <v>4302.83199363124</v>
      </c>
      <c r="F47" s="8" t="n">
        <f aca="false">D47-E47</f>
        <v>786.732094489507</v>
      </c>
      <c r="G47" s="8" t="n">
        <f aca="false">C47-F47</f>
        <v>736841.609670865</v>
      </c>
      <c r="H47" s="8" t="n">
        <f aca="false">H46+F47</f>
        <v>28158.3903291346</v>
      </c>
    </row>
    <row r="48" customFormat="false" ht="15" hidden="false" customHeight="false" outlineLevel="0" collapsed="false">
      <c r="B48" s="40" t="n">
        <v>41</v>
      </c>
      <c r="C48" s="8" t="n">
        <f aca="false">G47</f>
        <v>736841.609670865</v>
      </c>
      <c r="D48" s="8" t="n">
        <f aca="false">underwriting!D20</f>
        <v>5089.56408812075</v>
      </c>
      <c r="E48" s="8" t="n">
        <f aca="false">C48*underwriting!C15/12</f>
        <v>4298.24272308005</v>
      </c>
      <c r="F48" s="8" t="n">
        <f aca="false">D48-E48</f>
        <v>791.321365040696</v>
      </c>
      <c r="G48" s="8" t="n">
        <f aca="false">C48-F48</f>
        <v>736050.288305825</v>
      </c>
      <c r="H48" s="8" t="n">
        <f aca="false">H47+F48</f>
        <v>28949.7116941753</v>
      </c>
    </row>
    <row r="49" customFormat="false" ht="15" hidden="false" customHeight="false" outlineLevel="0" collapsed="false">
      <c r="B49" s="40" t="n">
        <v>42</v>
      </c>
      <c r="C49" s="8" t="n">
        <f aca="false">G48</f>
        <v>736050.288305825</v>
      </c>
      <c r="D49" s="8" t="n">
        <f aca="false">underwriting!D20</f>
        <v>5089.56408812075</v>
      </c>
      <c r="E49" s="8" t="n">
        <f aca="false">C49*underwriting!C15/12</f>
        <v>4293.62668178398</v>
      </c>
      <c r="F49" s="8" t="n">
        <f aca="false">D49-E49</f>
        <v>795.937406336767</v>
      </c>
      <c r="G49" s="8" t="n">
        <f aca="false">C49-F49</f>
        <v>735254.350899488</v>
      </c>
      <c r="H49" s="8" t="n">
        <f aca="false">H48+F49</f>
        <v>29745.649100512</v>
      </c>
    </row>
    <row r="50" customFormat="false" ht="15" hidden="false" customHeight="false" outlineLevel="0" collapsed="false">
      <c r="B50" s="40" t="n">
        <v>43</v>
      </c>
      <c r="C50" s="8" t="n">
        <f aca="false">G49</f>
        <v>735254.350899488</v>
      </c>
      <c r="D50" s="8" t="n">
        <f aca="false">underwriting!D20</f>
        <v>5089.56408812075</v>
      </c>
      <c r="E50" s="8" t="n">
        <f aca="false">C50*underwriting!C15/12</f>
        <v>4288.98371358035</v>
      </c>
      <c r="F50" s="8" t="n">
        <f aca="false">D50-E50</f>
        <v>800.580374540398</v>
      </c>
      <c r="G50" s="8" t="n">
        <f aca="false">C50-F50</f>
        <v>734453.770524947</v>
      </c>
      <c r="H50" s="8" t="n">
        <f aca="false">H49+F50</f>
        <v>30546.2294750524</v>
      </c>
    </row>
    <row r="51" customFormat="false" ht="15" hidden="false" customHeight="false" outlineLevel="0" collapsed="false">
      <c r="B51" s="40" t="n">
        <v>44</v>
      </c>
      <c r="C51" s="8" t="n">
        <f aca="false">G50</f>
        <v>734453.770524947</v>
      </c>
      <c r="D51" s="8" t="n">
        <f aca="false">underwriting!D20</f>
        <v>5089.56408812075</v>
      </c>
      <c r="E51" s="8" t="n">
        <f aca="false">C51*underwriting!C15/12</f>
        <v>4284.31366139553</v>
      </c>
      <c r="F51" s="8" t="n">
        <f aca="false">D51-E51</f>
        <v>805.250426725217</v>
      </c>
      <c r="G51" s="8" t="n">
        <f aca="false">C51-F51</f>
        <v>733648.520098222</v>
      </c>
      <c r="H51" s="8" t="n">
        <f aca="false">H50+F51</f>
        <v>31351.4799017776</v>
      </c>
    </row>
    <row r="52" customFormat="false" ht="15" hidden="false" customHeight="false" outlineLevel="0" collapsed="false">
      <c r="B52" s="40" t="n">
        <v>45</v>
      </c>
      <c r="C52" s="8" t="n">
        <f aca="false">G51</f>
        <v>733648.520098222</v>
      </c>
      <c r="D52" s="8" t="n">
        <f aca="false">underwriting!D20</f>
        <v>5089.56408812075</v>
      </c>
      <c r="E52" s="8" t="n">
        <f aca="false">C52*underwriting!C15/12</f>
        <v>4279.61636723963</v>
      </c>
      <c r="F52" s="8" t="n">
        <f aca="false">D52-E52</f>
        <v>809.947720881115</v>
      </c>
      <c r="G52" s="8" t="n">
        <f aca="false">C52-F52</f>
        <v>732838.572377341</v>
      </c>
      <c r="H52" s="8" t="n">
        <f aca="false">H51+F52</f>
        <v>32161.4276226588</v>
      </c>
    </row>
    <row r="53" customFormat="false" ht="15" hidden="false" customHeight="false" outlineLevel="0" collapsed="false">
      <c r="B53" s="40" t="n">
        <v>46</v>
      </c>
      <c r="C53" s="8" t="n">
        <f aca="false">G52</f>
        <v>732838.572377341</v>
      </c>
      <c r="D53" s="8" t="n">
        <f aca="false">underwriting!D20</f>
        <v>5089.56408812075</v>
      </c>
      <c r="E53" s="8" t="n">
        <f aca="false">C53*underwriting!C15/12</f>
        <v>4274.89167220116</v>
      </c>
      <c r="F53" s="8" t="n">
        <f aca="false">D53-E53</f>
        <v>814.672415919587</v>
      </c>
      <c r="G53" s="8" t="n">
        <f aca="false">C53-F53</f>
        <v>732023.899961422</v>
      </c>
      <c r="H53" s="8" t="n">
        <f aca="false">H52+F53</f>
        <v>32976.1000385784</v>
      </c>
    </row>
    <row r="54" customFormat="false" ht="15" hidden="false" customHeight="false" outlineLevel="0" collapsed="false">
      <c r="B54" s="40" t="n">
        <v>47</v>
      </c>
      <c r="C54" s="8" t="n">
        <f aca="false">G53</f>
        <v>732023.899961422</v>
      </c>
      <c r="D54" s="8" t="n">
        <f aca="false">underwriting!D20</f>
        <v>5089.56408812075</v>
      </c>
      <c r="E54" s="8" t="n">
        <f aca="false">C54*underwriting!C15/12</f>
        <v>4270.13941644163</v>
      </c>
      <c r="F54" s="8" t="n">
        <f aca="false">D54-E54</f>
        <v>819.424671679119</v>
      </c>
      <c r="G54" s="8" t="n">
        <f aca="false">C54-F54</f>
        <v>731204.475289742</v>
      </c>
      <c r="H54" s="8" t="n">
        <f aca="false">H53+F54</f>
        <v>33795.5247102575</v>
      </c>
    </row>
    <row r="55" customFormat="false" ht="15" hidden="false" customHeight="false" outlineLevel="0" collapsed="false">
      <c r="B55" s="40" t="n">
        <v>48</v>
      </c>
      <c r="C55" s="8" t="n">
        <f aca="false">G54</f>
        <v>731204.475289742</v>
      </c>
      <c r="D55" s="8" t="n">
        <f aca="false">underwriting!D20</f>
        <v>5089.56408812075</v>
      </c>
      <c r="E55" s="8" t="n">
        <f aca="false">C55*underwriting!C15/12</f>
        <v>4265.35943919016</v>
      </c>
      <c r="F55" s="8" t="n">
        <f aca="false">D55-E55</f>
        <v>824.20464893058</v>
      </c>
      <c r="G55" s="8" t="n">
        <f aca="false">C55-F55</f>
        <v>730380.270640812</v>
      </c>
      <c r="H55" s="8" t="n">
        <f aca="false">H54+F55</f>
        <v>34619.729359188</v>
      </c>
    </row>
    <row r="56" customFormat="false" ht="15" hidden="false" customHeight="false" outlineLevel="0" collapsed="false">
      <c r="B56" s="40" t="n">
        <v>49</v>
      </c>
      <c r="C56" s="8" t="n">
        <f aca="false">G55</f>
        <v>730380.270640812</v>
      </c>
      <c r="D56" s="8" t="n">
        <f aca="false">underwriting!D20</f>
        <v>5089.56408812075</v>
      </c>
      <c r="E56" s="8" t="n">
        <f aca="false">C56*underwriting!C15/12</f>
        <v>4260.55157873807</v>
      </c>
      <c r="F56" s="8" t="n">
        <f aca="false">D56-E56</f>
        <v>829.012509382676</v>
      </c>
      <c r="G56" s="8" t="n">
        <f aca="false">C56-F56</f>
        <v>729551.258131429</v>
      </c>
      <c r="H56" s="8" t="n">
        <f aca="false">H55+F56</f>
        <v>35448.7418685707</v>
      </c>
    </row>
    <row r="57" customFormat="false" ht="15" hidden="false" customHeight="false" outlineLevel="0" collapsed="false">
      <c r="B57" s="40" t="n">
        <v>50</v>
      </c>
      <c r="C57" s="8" t="n">
        <f aca="false">G56</f>
        <v>729551.258131429</v>
      </c>
      <c r="D57" s="8" t="n">
        <f aca="false">underwriting!D20</f>
        <v>5089.56408812075</v>
      </c>
      <c r="E57" s="8" t="n">
        <f aca="false">C57*underwriting!C15/12</f>
        <v>4255.71567243334</v>
      </c>
      <c r="F57" s="8" t="n">
        <f aca="false">D57-E57</f>
        <v>833.848415687407</v>
      </c>
      <c r="G57" s="8" t="n">
        <f aca="false">C57-F57</f>
        <v>728717.409715742</v>
      </c>
      <c r="H57" s="8" t="n">
        <f aca="false">H56+F57</f>
        <v>36282.5902842581</v>
      </c>
    </row>
    <row r="58" customFormat="false" ht="15" hidden="false" customHeight="false" outlineLevel="0" collapsed="false">
      <c r="B58" s="40" t="n">
        <v>51</v>
      </c>
      <c r="C58" s="8" t="n">
        <f aca="false">G57</f>
        <v>728717.409715742</v>
      </c>
      <c r="D58" s="8" t="n">
        <f aca="false">underwriting!D20</f>
        <v>5089.56408812075</v>
      </c>
      <c r="E58" s="8" t="n">
        <f aca="false">C58*underwriting!C15/12</f>
        <v>4250.85155667516</v>
      </c>
      <c r="F58" s="8" t="n">
        <f aca="false">D58-E58</f>
        <v>838.712531445584</v>
      </c>
      <c r="G58" s="8" t="n">
        <f aca="false">C58-F58</f>
        <v>727878.697184296</v>
      </c>
      <c r="H58" s="8" t="n">
        <f aca="false">H57+F58</f>
        <v>37121.3028157037</v>
      </c>
    </row>
    <row r="59" customFormat="false" ht="15" hidden="false" customHeight="false" outlineLevel="0" collapsed="false">
      <c r="B59" s="40" t="n">
        <v>52</v>
      </c>
      <c r="C59" s="8" t="n">
        <f aca="false">G58</f>
        <v>727878.697184296</v>
      </c>
      <c r="D59" s="8" t="n">
        <f aca="false">underwriting!D20</f>
        <v>5089.56408812075</v>
      </c>
      <c r="E59" s="8" t="n">
        <f aca="false">C59*underwriting!C15/12</f>
        <v>4245.9590669084</v>
      </c>
      <c r="F59" s="8" t="n">
        <f aca="false">D59-E59</f>
        <v>843.60502121235</v>
      </c>
      <c r="G59" s="8" t="n">
        <f aca="false">C59-F59</f>
        <v>727035.092163084</v>
      </c>
      <c r="H59" s="8" t="n">
        <f aca="false">H58+F59</f>
        <v>37964.9078369161</v>
      </c>
    </row>
    <row r="60" customFormat="false" ht="15" hidden="false" customHeight="false" outlineLevel="0" collapsed="false">
      <c r="B60" s="40" t="n">
        <v>53</v>
      </c>
      <c r="C60" s="8" t="n">
        <f aca="false">G59</f>
        <v>727035.092163084</v>
      </c>
      <c r="D60" s="8" t="n">
        <f aca="false">underwriting!D20</f>
        <v>5089.56408812075</v>
      </c>
      <c r="E60" s="8" t="n">
        <f aca="false">C60*underwriting!C15/12</f>
        <v>4241.03803761799</v>
      </c>
      <c r="F60" s="8" t="n">
        <f aca="false">D60-E60</f>
        <v>848.526050502756</v>
      </c>
      <c r="G60" s="8" t="n">
        <f aca="false">C60-F60</f>
        <v>726186.566112581</v>
      </c>
      <c r="H60" s="8" t="n">
        <f aca="false">H59+F60</f>
        <v>38813.4338874188</v>
      </c>
    </row>
    <row r="61" customFormat="false" ht="15" hidden="false" customHeight="false" outlineLevel="0" collapsed="false">
      <c r="B61" s="40" t="n">
        <v>54</v>
      </c>
      <c r="C61" s="8" t="n">
        <f aca="false">G60</f>
        <v>726186.566112581</v>
      </c>
      <c r="D61" s="8" t="n">
        <f aca="false">underwriting!D20</f>
        <v>5089.56408812075</v>
      </c>
      <c r="E61" s="8" t="n">
        <f aca="false">C61*underwriting!C15/12</f>
        <v>4236.08830232339</v>
      </c>
      <c r="F61" s="8" t="n">
        <f aca="false">D61-E61</f>
        <v>853.475785797356</v>
      </c>
      <c r="G61" s="8" t="n">
        <f aca="false">C61-F61</f>
        <v>725333.090326784</v>
      </c>
      <c r="H61" s="8" t="n">
        <f aca="false">H60+F61</f>
        <v>39666.9096732162</v>
      </c>
    </row>
    <row r="62" customFormat="false" ht="15" hidden="false" customHeight="false" outlineLevel="0" collapsed="false">
      <c r="B62" s="40" t="n">
        <v>55</v>
      </c>
      <c r="C62" s="8" t="n">
        <f aca="false">G61</f>
        <v>725333.090326784</v>
      </c>
      <c r="D62" s="8" t="n">
        <f aca="false">underwriting!D20</f>
        <v>5089.56408812075</v>
      </c>
      <c r="E62" s="8" t="n">
        <f aca="false">C62*underwriting!C15/12</f>
        <v>4231.10969357291</v>
      </c>
      <c r="F62" s="8" t="n">
        <f aca="false">D62-E62</f>
        <v>858.45439454784</v>
      </c>
      <c r="G62" s="8" t="n">
        <f aca="false">C62-F62</f>
        <v>724474.635932236</v>
      </c>
      <c r="H62" s="8" t="n">
        <f aca="false">H61+F62</f>
        <v>40525.364067764</v>
      </c>
    </row>
    <row r="63" customFormat="false" ht="15" hidden="false" customHeight="false" outlineLevel="0" collapsed="false">
      <c r="B63" s="40" t="n">
        <v>56</v>
      </c>
      <c r="C63" s="8" t="n">
        <f aca="false">G62</f>
        <v>724474.635932236</v>
      </c>
      <c r="D63" s="8" t="n">
        <f aca="false">underwriting!D20</f>
        <v>5089.56408812075</v>
      </c>
      <c r="E63" s="8" t="n">
        <f aca="false">C63*underwriting!C15/12</f>
        <v>4226.10204293804</v>
      </c>
      <c r="F63" s="8" t="n">
        <f aca="false">D63-E63</f>
        <v>863.462045182702</v>
      </c>
      <c r="G63" s="8" t="n">
        <f aca="false">C63-F63</f>
        <v>723611.173887053</v>
      </c>
      <c r="H63" s="8" t="n">
        <f aca="false">H62+F63</f>
        <v>41388.8261129467</v>
      </c>
    </row>
    <row r="64" customFormat="false" ht="15" hidden="false" customHeight="false" outlineLevel="0" collapsed="false">
      <c r="B64" s="40" t="n">
        <v>57</v>
      </c>
      <c r="C64" s="8" t="n">
        <f aca="false">G63</f>
        <v>723611.173887053</v>
      </c>
      <c r="D64" s="8" t="n">
        <f aca="false">underwriting!D20</f>
        <v>5089.56408812075</v>
      </c>
      <c r="E64" s="8" t="n">
        <f aca="false">C64*underwriting!C15/12</f>
        <v>4221.06518100781</v>
      </c>
      <c r="F64" s="8" t="n">
        <f aca="false">D64-E64</f>
        <v>868.498907112935</v>
      </c>
      <c r="G64" s="8" t="n">
        <f aca="false">C64-F64</f>
        <v>722742.67497994</v>
      </c>
      <c r="H64" s="8" t="n">
        <f aca="false">H63+F64</f>
        <v>42257.3250200596</v>
      </c>
    </row>
    <row r="65" customFormat="false" ht="15" hidden="false" customHeight="false" outlineLevel="0" collapsed="false">
      <c r="B65" s="40" t="n">
        <v>58</v>
      </c>
      <c r="C65" s="8" t="n">
        <f aca="false">G64</f>
        <v>722742.67497994</v>
      </c>
      <c r="D65" s="8" t="n">
        <f aca="false">underwriting!D20</f>
        <v>5089.56408812075</v>
      </c>
      <c r="E65" s="8" t="n">
        <f aca="false">C65*underwriting!C15/12</f>
        <v>4215.99893738298</v>
      </c>
      <c r="F65" s="8" t="n">
        <f aca="false">D65-E65</f>
        <v>873.565150737761</v>
      </c>
      <c r="G65" s="8" t="n">
        <f aca="false">C65-F65</f>
        <v>721869.109829202</v>
      </c>
      <c r="H65" s="8" t="n">
        <f aca="false">H64+F65</f>
        <v>43130.8901707974</v>
      </c>
    </row>
    <row r="66" customFormat="false" ht="15" hidden="false" customHeight="false" outlineLevel="0" collapsed="false">
      <c r="B66" s="40" t="n">
        <v>59</v>
      </c>
      <c r="C66" s="8" t="n">
        <f aca="false">G65</f>
        <v>721869.109829202</v>
      </c>
      <c r="D66" s="8" t="n">
        <f aca="false">underwriting!D20</f>
        <v>5089.56408812075</v>
      </c>
      <c r="E66" s="8" t="n">
        <f aca="false">C66*underwriting!C15/12</f>
        <v>4210.90314067035</v>
      </c>
      <c r="F66" s="8" t="n">
        <f aca="false">D66-E66</f>
        <v>878.660947450398</v>
      </c>
      <c r="G66" s="8" t="n">
        <f aca="false">C66-F66</f>
        <v>720990.448881752</v>
      </c>
      <c r="H66" s="8" t="n">
        <f aca="false">H65+F66</f>
        <v>44009.5511182478</v>
      </c>
    </row>
    <row r="67" customFormat="false" ht="15" hidden="false" customHeight="false" outlineLevel="0" collapsed="false">
      <c r="B67" s="40" t="n">
        <v>60</v>
      </c>
      <c r="C67" s="8" t="n">
        <f aca="false">G66</f>
        <v>720990.448881752</v>
      </c>
      <c r="D67" s="8" t="n">
        <f aca="false">underwriting!D20</f>
        <v>5089.56408812075</v>
      </c>
      <c r="E67" s="8" t="n">
        <f aca="false">C67*underwriting!C15/12</f>
        <v>4205.77761847689</v>
      </c>
      <c r="F67" s="8" t="n">
        <f aca="false">D67-E67</f>
        <v>883.786469643858</v>
      </c>
      <c r="G67" s="8" t="n">
        <f aca="false">C67-F67</f>
        <v>720106.662412108</v>
      </c>
      <c r="H67" s="8" t="n">
        <f aca="false">H66+F67</f>
        <v>44893.3375878917</v>
      </c>
    </row>
    <row r="68" customFormat="false" ht="15" hidden="false" customHeight="false" outlineLevel="0" collapsed="false">
      <c r="B68" s="40" t="n">
        <v>61</v>
      </c>
      <c r="C68" s="8" t="n">
        <f aca="false">G67</f>
        <v>720106.662412108</v>
      </c>
      <c r="D68" s="8" t="n">
        <f aca="false">underwriting!D20</f>
        <v>5089.56408812075</v>
      </c>
      <c r="E68" s="8" t="n">
        <f aca="false">C68*underwriting!C15/12</f>
        <v>4200.62219740396</v>
      </c>
      <c r="F68" s="8" t="n">
        <f aca="false">D68-E68</f>
        <v>888.94189071678</v>
      </c>
      <c r="G68" s="8" t="n">
        <f aca="false">C68-F68</f>
        <v>719217.720521391</v>
      </c>
      <c r="H68" s="8" t="n">
        <f aca="false">H67+F68</f>
        <v>45782.2794786084</v>
      </c>
    </row>
    <row r="69" customFormat="false" ht="15" hidden="false" customHeight="false" outlineLevel="0" collapsed="false">
      <c r="B69" s="40" t="n">
        <v>62</v>
      </c>
      <c r="C69" s="8" t="n">
        <f aca="false">G68</f>
        <v>719217.720521391</v>
      </c>
      <c r="D69" s="8" t="n">
        <f aca="false">underwriting!D20</f>
        <v>5089.56408812075</v>
      </c>
      <c r="E69" s="8" t="n">
        <f aca="false">C69*underwriting!C15/12</f>
        <v>4195.43670304145</v>
      </c>
      <c r="F69" s="8" t="n">
        <f aca="false">D69-E69</f>
        <v>894.127385079295</v>
      </c>
      <c r="G69" s="8" t="n">
        <f aca="false">C69-F69</f>
        <v>718323.593136312</v>
      </c>
      <c r="H69" s="8" t="n">
        <f aca="false">H68+F69</f>
        <v>46676.4068636877</v>
      </c>
    </row>
    <row r="70" customFormat="false" ht="15" hidden="false" customHeight="false" outlineLevel="0" collapsed="false">
      <c r="B70" s="40" t="n">
        <v>63</v>
      </c>
      <c r="C70" s="8" t="n">
        <f aca="false">G69</f>
        <v>718323.593136312</v>
      </c>
      <c r="D70" s="8" t="n">
        <f aca="false">underwriting!D20</f>
        <v>5089.56408812075</v>
      </c>
      <c r="E70" s="8" t="n">
        <f aca="false">C70*underwriting!C15/12</f>
        <v>4190.22095996182</v>
      </c>
      <c r="F70" s="8" t="n">
        <f aca="false">D70-E70</f>
        <v>899.343128158925</v>
      </c>
      <c r="G70" s="8" t="n">
        <f aca="false">C70-F70</f>
        <v>717424.250008153</v>
      </c>
      <c r="H70" s="8" t="n">
        <f aca="false">H69+F70</f>
        <v>47575.7499918467</v>
      </c>
    </row>
    <row r="71" customFormat="false" ht="15" hidden="false" customHeight="false" outlineLevel="0" collapsed="false">
      <c r="B71" s="40" t="n">
        <v>64</v>
      </c>
      <c r="C71" s="8" t="n">
        <f aca="false">G70</f>
        <v>717424.250008153</v>
      </c>
      <c r="D71" s="8" t="n">
        <f aca="false">underwriting!D20</f>
        <v>5089.56408812075</v>
      </c>
      <c r="E71" s="8" t="n">
        <f aca="false">C71*underwriting!C15/12</f>
        <v>4184.97479171423</v>
      </c>
      <c r="F71" s="8" t="n">
        <f aca="false">D71-E71</f>
        <v>904.589296406519</v>
      </c>
      <c r="G71" s="8" t="n">
        <f aca="false">C71-F71</f>
        <v>716519.660711747</v>
      </c>
      <c r="H71" s="8" t="n">
        <f aca="false">H70+F71</f>
        <v>48480.3392882532</v>
      </c>
    </row>
    <row r="72" customFormat="false" ht="15" hidden="false" customHeight="false" outlineLevel="0" collapsed="false">
      <c r="B72" s="40" t="n">
        <v>65</v>
      </c>
      <c r="C72" s="8" t="n">
        <f aca="false">G71</f>
        <v>716519.660711747</v>
      </c>
      <c r="D72" s="8" t="n">
        <f aca="false">underwriting!D20</f>
        <v>5089.56408812075</v>
      </c>
      <c r="E72" s="8" t="n">
        <f aca="false">C72*underwriting!C15/12</f>
        <v>4179.69802081852</v>
      </c>
      <c r="F72" s="8" t="n">
        <f aca="false">D72-E72</f>
        <v>909.866067302222</v>
      </c>
      <c r="G72" s="8" t="n">
        <f aca="false">C72-F72</f>
        <v>715609.794644444</v>
      </c>
      <c r="H72" s="8" t="n">
        <f aca="false">H71+F72</f>
        <v>49390.2053555554</v>
      </c>
    </row>
    <row r="73" customFormat="false" ht="15" hidden="false" customHeight="false" outlineLevel="0" collapsed="false">
      <c r="B73" s="40" t="n">
        <v>66</v>
      </c>
      <c r="C73" s="8" t="n">
        <f aca="false">G72</f>
        <v>715609.794644444</v>
      </c>
      <c r="D73" s="8" t="n">
        <f aca="false">underwriting!D20</f>
        <v>5089.56408812075</v>
      </c>
      <c r="E73" s="8" t="n">
        <f aca="false">C73*underwriting!C15/12</f>
        <v>4174.39046875926</v>
      </c>
      <c r="F73" s="8" t="n">
        <f aca="false">D73-E73</f>
        <v>915.173619361485</v>
      </c>
      <c r="G73" s="8" t="n">
        <f aca="false">C73-F73</f>
        <v>714694.621025083</v>
      </c>
      <c r="H73" s="8" t="n">
        <f aca="false">H72+F73</f>
        <v>50305.3789749169</v>
      </c>
    </row>
    <row r="74" customFormat="false" ht="15" hidden="false" customHeight="false" outlineLevel="0" collapsed="false">
      <c r="B74" s="40" t="n">
        <v>67</v>
      </c>
      <c r="C74" s="8" t="n">
        <f aca="false">G73</f>
        <v>714694.621025083</v>
      </c>
      <c r="D74" s="8" t="n">
        <f aca="false">underwriting!D20</f>
        <v>5089.56408812075</v>
      </c>
      <c r="E74" s="8" t="n">
        <f aca="false">C74*underwriting!C15/12</f>
        <v>4169.05195597965</v>
      </c>
      <c r="F74" s="8" t="n">
        <f aca="false">D74-E74</f>
        <v>920.512132141094</v>
      </c>
      <c r="G74" s="8" t="n">
        <f aca="false">C74-F74</f>
        <v>713774.108892942</v>
      </c>
      <c r="H74" s="8" t="n">
        <f aca="false">H73+F74</f>
        <v>51225.891107058</v>
      </c>
    </row>
    <row r="75" customFormat="false" ht="15" hidden="false" customHeight="false" outlineLevel="0" collapsed="false">
      <c r="B75" s="40" t="n">
        <v>68</v>
      </c>
      <c r="C75" s="8" t="n">
        <f aca="false">G74</f>
        <v>713774.108892942</v>
      </c>
      <c r="D75" s="8" t="n">
        <f aca="false">underwriting!D20</f>
        <v>5089.56408812075</v>
      </c>
      <c r="E75" s="8" t="n">
        <f aca="false">C75*underwriting!C15/12</f>
        <v>4163.68230187549</v>
      </c>
      <c r="F75" s="8" t="n">
        <f aca="false">D75-E75</f>
        <v>925.881786245251</v>
      </c>
      <c r="G75" s="8" t="n">
        <f aca="false">C75-F75</f>
        <v>712848.227106697</v>
      </c>
      <c r="H75" s="8" t="n">
        <f aca="false">H74+F75</f>
        <v>52151.7728933032</v>
      </c>
    </row>
    <row r="76" customFormat="false" ht="15" hidden="false" customHeight="false" outlineLevel="0" collapsed="false">
      <c r="B76" s="40" t="n">
        <v>69</v>
      </c>
      <c r="C76" s="8" t="n">
        <f aca="false">G75</f>
        <v>712848.227106697</v>
      </c>
      <c r="D76" s="8" t="n">
        <f aca="false">underwriting!D20</f>
        <v>5089.56408812075</v>
      </c>
      <c r="E76" s="8" t="n">
        <f aca="false">C76*underwriting!C15/12</f>
        <v>4158.28132478906</v>
      </c>
      <c r="F76" s="8" t="n">
        <f aca="false">D76-E76</f>
        <v>931.282763331681</v>
      </c>
      <c r="G76" s="8" t="n">
        <f aca="false">C76-F76</f>
        <v>711916.944343365</v>
      </c>
      <c r="H76" s="8" t="n">
        <f aca="false">H75+F76</f>
        <v>53083.0556566349</v>
      </c>
    </row>
    <row r="77" customFormat="false" ht="15" hidden="false" customHeight="false" outlineLevel="0" collapsed="false">
      <c r="B77" s="40" t="n">
        <v>70</v>
      </c>
      <c r="C77" s="8" t="n">
        <f aca="false">G76</f>
        <v>711916.944343365</v>
      </c>
      <c r="D77" s="8" t="n">
        <f aca="false">underwriting!D20</f>
        <v>5089.56408812075</v>
      </c>
      <c r="E77" s="8" t="n">
        <f aca="false">C77*underwriting!C15/12</f>
        <v>4152.84884200296</v>
      </c>
      <c r="F77" s="8" t="n">
        <f aca="false">D77-E77</f>
        <v>936.715246117782</v>
      </c>
      <c r="G77" s="8" t="n">
        <f aca="false">C77-F77</f>
        <v>710980.229097247</v>
      </c>
      <c r="H77" s="8" t="n">
        <f aca="false">H76+F77</f>
        <v>54019.7709027527</v>
      </c>
    </row>
    <row r="78" customFormat="false" ht="15" hidden="false" customHeight="false" outlineLevel="0" collapsed="false">
      <c r="B78" s="40" t="n">
        <v>71</v>
      </c>
      <c r="C78" s="8" t="n">
        <f aca="false">G77</f>
        <v>710980.229097247</v>
      </c>
      <c r="D78" s="8" t="n">
        <f aca="false">underwriting!D20</f>
        <v>5089.56408812075</v>
      </c>
      <c r="E78" s="8" t="n">
        <f aca="false">C78*underwriting!C15/12</f>
        <v>4147.38466973394</v>
      </c>
      <c r="F78" s="8" t="n">
        <f aca="false">D78-E78</f>
        <v>942.179418386802</v>
      </c>
      <c r="G78" s="8" t="n">
        <f aca="false">C78-F78</f>
        <v>710038.04967886</v>
      </c>
      <c r="H78" s="8" t="n">
        <f aca="false">H77+F78</f>
        <v>54961.9503211395</v>
      </c>
    </row>
    <row r="79" customFormat="false" ht="15" hidden="false" customHeight="false" outlineLevel="0" collapsed="false">
      <c r="B79" s="40" t="n">
        <v>72</v>
      </c>
      <c r="C79" s="8" t="n">
        <f aca="false">G78</f>
        <v>710038.04967886</v>
      </c>
      <c r="D79" s="8" t="n">
        <f aca="false">underwriting!D20</f>
        <v>5089.56408812075</v>
      </c>
      <c r="E79" s="8" t="n">
        <f aca="false">C79*underwriting!C15/12</f>
        <v>4141.88862312669</v>
      </c>
      <c r="F79" s="8" t="n">
        <f aca="false">D79-E79</f>
        <v>947.675464994059</v>
      </c>
      <c r="G79" s="8" t="n">
        <f aca="false">C79-F79</f>
        <v>709090.374213866</v>
      </c>
      <c r="H79" s="8" t="n">
        <f aca="false">H78+F79</f>
        <v>55909.6257861336</v>
      </c>
    </row>
    <row r="80" customFormat="false" ht="15" hidden="false" customHeight="false" outlineLevel="0" collapsed="false">
      <c r="B80" s="40" t="n">
        <v>73</v>
      </c>
      <c r="C80" s="8" t="n">
        <f aca="false">G79</f>
        <v>709090.374213866</v>
      </c>
      <c r="D80" s="8" t="n">
        <f aca="false">underwriting!D20</f>
        <v>5089.56408812075</v>
      </c>
      <c r="E80" s="8" t="n">
        <f aca="false">C80*underwriting!C15/12</f>
        <v>4136.36051624755</v>
      </c>
      <c r="F80" s="8" t="n">
        <f aca="false">D80-E80</f>
        <v>953.203571873191</v>
      </c>
      <c r="G80" s="8" t="n">
        <f aca="false">C80-F80</f>
        <v>708137.170641993</v>
      </c>
      <c r="H80" s="8" t="n">
        <f aca="false">H79+F80</f>
        <v>56862.8293580067</v>
      </c>
    </row>
    <row r="81" customFormat="false" ht="15" hidden="false" customHeight="false" outlineLevel="0" collapsed="false">
      <c r="B81" s="40" t="n">
        <v>74</v>
      </c>
      <c r="C81" s="8" t="n">
        <f aca="false">G80</f>
        <v>708137.170641993</v>
      </c>
      <c r="D81" s="8" t="n">
        <f aca="false">underwriting!D20</f>
        <v>5089.56408812075</v>
      </c>
      <c r="E81" s="8" t="n">
        <f aca="false">C81*underwriting!C15/12</f>
        <v>4130.80016207829</v>
      </c>
      <c r="F81" s="8" t="n">
        <f aca="false">D81-E81</f>
        <v>958.763926042451</v>
      </c>
      <c r="G81" s="8" t="n">
        <f aca="false">C81-F81</f>
        <v>707178.406715951</v>
      </c>
      <c r="H81" s="8" t="n">
        <f aca="false">H80+F81</f>
        <v>57821.5932840492</v>
      </c>
    </row>
    <row r="82" customFormat="false" ht="15" hidden="false" customHeight="false" outlineLevel="0" collapsed="false">
      <c r="B82" s="40" t="n">
        <v>75</v>
      </c>
      <c r="C82" s="8" t="n">
        <f aca="false">G81</f>
        <v>707178.406715951</v>
      </c>
      <c r="D82" s="8" t="n">
        <f aca="false">underwriting!D20</f>
        <v>5089.56408812075</v>
      </c>
      <c r="E82" s="8" t="n">
        <f aca="false">C82*underwriting!C15/12</f>
        <v>4125.20737250971</v>
      </c>
      <c r="F82" s="8" t="n">
        <f aca="false">D82-E82</f>
        <v>964.356715611032</v>
      </c>
      <c r="G82" s="8" t="n">
        <f aca="false">C82-F82</f>
        <v>706214.05000034</v>
      </c>
      <c r="H82" s="8" t="n">
        <f aca="false">H81+F82</f>
        <v>58785.9499996602</v>
      </c>
    </row>
    <row r="83" customFormat="false" ht="15" hidden="false" customHeight="false" outlineLevel="0" collapsed="false">
      <c r="B83" s="40" t="n">
        <v>76</v>
      </c>
      <c r="C83" s="8" t="n">
        <f aca="false">G82</f>
        <v>706214.05000034</v>
      </c>
      <c r="D83" s="8" t="n">
        <f aca="false">underwriting!D20</f>
        <v>5089.56408812075</v>
      </c>
      <c r="E83" s="8" t="n">
        <f aca="false">C83*underwriting!C15/12</f>
        <v>4119.58195833532</v>
      </c>
      <c r="F83" s="8" t="n">
        <f aca="false">D83-E83</f>
        <v>969.98212978543</v>
      </c>
      <c r="G83" s="8" t="n">
        <f aca="false">C83-F83</f>
        <v>705244.067870554</v>
      </c>
      <c r="H83" s="8" t="n">
        <f aca="false">H82+F83</f>
        <v>59755.9321294456</v>
      </c>
    </row>
    <row r="84" customFormat="false" ht="15" hidden="false" customHeight="false" outlineLevel="0" collapsed="false">
      <c r="B84" s="40" t="n">
        <v>77</v>
      </c>
      <c r="C84" s="8" t="n">
        <f aca="false">G83</f>
        <v>705244.067870554</v>
      </c>
      <c r="D84" s="8" t="n">
        <f aca="false">underwriting!D20</f>
        <v>5089.56408812075</v>
      </c>
      <c r="E84" s="8" t="n">
        <f aca="false">C84*underwriting!C15/12</f>
        <v>4113.9237292449</v>
      </c>
      <c r="F84" s="8" t="n">
        <f aca="false">D84-E84</f>
        <v>975.640358875845</v>
      </c>
      <c r="G84" s="8" t="n">
        <f aca="false">C84-F84</f>
        <v>704268.427511678</v>
      </c>
      <c r="H84" s="8" t="n">
        <f aca="false">H83+F84</f>
        <v>60731.5724883215</v>
      </c>
    </row>
    <row r="85" customFormat="false" ht="15" hidden="false" customHeight="false" outlineLevel="0" collapsed="false">
      <c r="B85" s="40" t="n">
        <v>78</v>
      </c>
      <c r="C85" s="8" t="n">
        <f aca="false">G84</f>
        <v>704268.427511678</v>
      </c>
      <c r="D85" s="8" t="n">
        <f aca="false">underwriting!D20</f>
        <v>5089.56408812075</v>
      </c>
      <c r="E85" s="8" t="n">
        <f aca="false">C85*underwriting!C15/12</f>
        <v>4108.23249381812</v>
      </c>
      <c r="F85" s="8" t="n">
        <f aca="false">D85-E85</f>
        <v>981.331594302621</v>
      </c>
      <c r="G85" s="8" t="n">
        <f aca="false">C85-F85</f>
        <v>703287.095917376</v>
      </c>
      <c r="H85" s="8" t="n">
        <f aca="false">H84+F85</f>
        <v>61712.9040826241</v>
      </c>
    </row>
    <row r="86" customFormat="false" ht="15" hidden="false" customHeight="false" outlineLevel="0" collapsed="false">
      <c r="B86" s="40" t="n">
        <v>79</v>
      </c>
      <c r="C86" s="8" t="n">
        <f aca="false">G85</f>
        <v>703287.095917376</v>
      </c>
      <c r="D86" s="8" t="n">
        <f aca="false">underwriting!D20</f>
        <v>5089.56408812075</v>
      </c>
      <c r="E86" s="8" t="n">
        <f aca="false">C86*underwriting!C15/12</f>
        <v>4102.50805951803</v>
      </c>
      <c r="F86" s="8" t="n">
        <f aca="false">D86-E86</f>
        <v>987.056028602719</v>
      </c>
      <c r="G86" s="8" t="n">
        <f aca="false">C86-F86</f>
        <v>702300.039888773</v>
      </c>
      <c r="H86" s="8" t="n">
        <f aca="false">H85+F86</f>
        <v>62699.9601112268</v>
      </c>
    </row>
    <row r="87" customFormat="false" ht="15" hidden="false" customHeight="false" outlineLevel="0" collapsed="false">
      <c r="B87" s="40" t="n">
        <v>80</v>
      </c>
      <c r="C87" s="8" t="n">
        <f aca="false">G86</f>
        <v>702300.039888773</v>
      </c>
      <c r="D87" s="8" t="n">
        <f aca="false">underwriting!D20</f>
        <v>5089.56408812075</v>
      </c>
      <c r="E87" s="8" t="n">
        <f aca="false">C87*underwriting!C15/12</f>
        <v>4096.75023268451</v>
      </c>
      <c r="F87" s="8" t="n">
        <f aca="false">D87-E87</f>
        <v>992.813855436236</v>
      </c>
      <c r="G87" s="8" t="n">
        <f aca="false">C87-F87</f>
        <v>701307.226033337</v>
      </c>
      <c r="H87" s="8" t="n">
        <f aca="false">H86+F87</f>
        <v>63692.7739666631</v>
      </c>
    </row>
    <row r="88" customFormat="false" ht="15" hidden="false" customHeight="false" outlineLevel="0" collapsed="false">
      <c r="B88" s="40" t="n">
        <v>81</v>
      </c>
      <c r="C88" s="8" t="n">
        <f aca="false">G87</f>
        <v>701307.226033337</v>
      </c>
      <c r="D88" s="8" t="n">
        <f aca="false">underwriting!D20</f>
        <v>5089.56408812075</v>
      </c>
      <c r="E88" s="8" t="n">
        <f aca="false">C88*underwriting!C15/12</f>
        <v>4090.9588185278</v>
      </c>
      <c r="F88" s="8" t="n">
        <f aca="false">D88-E88</f>
        <v>998.605269592948</v>
      </c>
      <c r="G88" s="8" t="n">
        <f aca="false">C88-F88</f>
        <v>700308.620763744</v>
      </c>
      <c r="H88" s="8" t="n">
        <f aca="false">H87+F88</f>
        <v>64691.379236256</v>
      </c>
    </row>
    <row r="89" customFormat="false" ht="15" hidden="false" customHeight="false" outlineLevel="0" collapsed="false">
      <c r="B89" s="40" t="n">
        <v>82</v>
      </c>
      <c r="C89" s="8" t="n">
        <f aca="false">G88</f>
        <v>700308.620763744</v>
      </c>
      <c r="D89" s="8" t="n">
        <f aca="false">underwriting!D20</f>
        <v>5089.56408812075</v>
      </c>
      <c r="E89" s="8" t="n">
        <f aca="false">C89*underwriting!C15/12</f>
        <v>4085.13362112184</v>
      </c>
      <c r="F89" s="8" t="n">
        <f aca="false">D89-E89</f>
        <v>1004.43046699891</v>
      </c>
      <c r="G89" s="8" t="n">
        <f aca="false">C89-F89</f>
        <v>699304.190296745</v>
      </c>
      <c r="H89" s="8" t="n">
        <f aca="false">H88+F89</f>
        <v>65695.8097032549</v>
      </c>
    </row>
    <row r="90" customFormat="false" ht="15" hidden="false" customHeight="false" outlineLevel="0" collapsed="false">
      <c r="B90" s="40" t="n">
        <v>83</v>
      </c>
      <c r="C90" s="8" t="n">
        <f aca="false">G89</f>
        <v>699304.190296745</v>
      </c>
      <c r="D90" s="8" t="n">
        <f aca="false">underwriting!D20</f>
        <v>5089.56408812075</v>
      </c>
      <c r="E90" s="8" t="n">
        <f aca="false">C90*underwriting!C15/12</f>
        <v>4079.27444339768</v>
      </c>
      <c r="F90" s="8" t="n">
        <f aca="false">D90-E90</f>
        <v>1010.28964472307</v>
      </c>
      <c r="G90" s="8" t="n">
        <f aca="false">C90-F90</f>
        <v>698293.900652022</v>
      </c>
      <c r="H90" s="8" t="n">
        <f aca="false">H89+F90</f>
        <v>66706.099347978</v>
      </c>
    </row>
    <row r="91" customFormat="false" ht="15" hidden="false" customHeight="false" outlineLevel="0" collapsed="false">
      <c r="B91" s="40" t="n">
        <v>84</v>
      </c>
      <c r="C91" s="8" t="n">
        <f aca="false">G90</f>
        <v>698293.900652022</v>
      </c>
      <c r="D91" s="8" t="n">
        <f aca="false">underwriting!D20</f>
        <v>5089.56408812075</v>
      </c>
      <c r="E91" s="8" t="n">
        <f aca="false">C91*underwriting!C15/12</f>
        <v>4073.38108713679</v>
      </c>
      <c r="F91" s="8" t="n">
        <f aca="false">D91-E91</f>
        <v>1016.18300098395</v>
      </c>
      <c r="G91" s="8" t="n">
        <f aca="false">C91-F91</f>
        <v>697277.717651038</v>
      </c>
      <c r="H91" s="8" t="n">
        <f aca="false">H90+F91</f>
        <v>67722.2823489619</v>
      </c>
    </row>
    <row r="92" customFormat="false" ht="15" hidden="false" customHeight="false" outlineLevel="0" collapsed="false">
      <c r="B92" s="40" t="n">
        <v>85</v>
      </c>
      <c r="C92" s="8" t="n">
        <f aca="false">G91</f>
        <v>697277.717651038</v>
      </c>
      <c r="D92" s="8" t="n">
        <f aca="false">underwriting!D20</f>
        <v>5089.56408812075</v>
      </c>
      <c r="E92" s="8" t="n">
        <f aca="false">C92*underwriting!C15/12</f>
        <v>4067.45335296439</v>
      </c>
      <c r="F92" s="8" t="n">
        <f aca="false">D92-E92</f>
        <v>1022.11073515636</v>
      </c>
      <c r="G92" s="8" t="n">
        <f aca="false">C92-F92</f>
        <v>696255.606915881</v>
      </c>
      <c r="H92" s="8" t="n">
        <f aca="false">H91+F92</f>
        <v>68744.3930841183</v>
      </c>
    </row>
    <row r="93" customFormat="false" ht="15" hidden="false" customHeight="false" outlineLevel="0" collapsed="false">
      <c r="B93" s="40" t="n">
        <v>86</v>
      </c>
      <c r="C93" s="8" t="n">
        <f aca="false">G92</f>
        <v>696255.606915881</v>
      </c>
      <c r="D93" s="8" t="n">
        <f aca="false">underwriting!D20</f>
        <v>5089.56408812075</v>
      </c>
      <c r="E93" s="8" t="n">
        <f aca="false">C93*underwriting!C15/12</f>
        <v>4061.49104034264</v>
      </c>
      <c r="F93" s="8" t="n">
        <f aca="false">D93-E93</f>
        <v>1028.0730477781</v>
      </c>
      <c r="G93" s="8" t="n">
        <f aca="false">C93-F93</f>
        <v>695227.533868103</v>
      </c>
      <c r="H93" s="8" t="n">
        <f aca="false">H92+F93</f>
        <v>69772.4661318964</v>
      </c>
    </row>
    <row r="94" customFormat="false" ht="15" hidden="false" customHeight="false" outlineLevel="0" collapsed="false">
      <c r="B94" s="40" t="n">
        <v>87</v>
      </c>
      <c r="C94" s="8" t="n">
        <f aca="false">G93</f>
        <v>695227.533868103</v>
      </c>
      <c r="D94" s="8" t="n">
        <f aca="false">underwriting!D20</f>
        <v>5089.56408812075</v>
      </c>
      <c r="E94" s="8" t="n">
        <f aca="false">C94*underwriting!C15/12</f>
        <v>4055.49394756394</v>
      </c>
      <c r="F94" s="8" t="n">
        <f aca="false">D94-E94</f>
        <v>1034.07014055681</v>
      </c>
      <c r="G94" s="8" t="n">
        <f aca="false">C94-F94</f>
        <v>694193.463727547</v>
      </c>
      <c r="H94" s="8" t="n">
        <f aca="false">H93+F94</f>
        <v>70806.5362724532</v>
      </c>
    </row>
    <row r="95" customFormat="false" ht="15" hidden="false" customHeight="false" outlineLevel="0" collapsed="false">
      <c r="B95" s="40" t="n">
        <v>88</v>
      </c>
      <c r="C95" s="8" t="n">
        <f aca="false">G94</f>
        <v>694193.463727547</v>
      </c>
      <c r="D95" s="8" t="n">
        <f aca="false">underwriting!D20</f>
        <v>5089.56408812075</v>
      </c>
      <c r="E95" s="8" t="n">
        <f aca="false">C95*underwriting!C15/12</f>
        <v>4049.46187174402</v>
      </c>
      <c r="F95" s="8" t="n">
        <f aca="false">D95-E95</f>
        <v>1040.10221637672</v>
      </c>
      <c r="G95" s="8" t="n">
        <f aca="false">C95-F95</f>
        <v>693153.36151117</v>
      </c>
      <c r="H95" s="8" t="n">
        <f aca="false">H94+F95</f>
        <v>71846.6384888299</v>
      </c>
    </row>
    <row r="96" customFormat="false" ht="15" hidden="false" customHeight="false" outlineLevel="0" collapsed="false">
      <c r="B96" s="40" t="n">
        <v>89</v>
      </c>
      <c r="C96" s="8" t="n">
        <f aca="false">G95</f>
        <v>693153.36151117</v>
      </c>
      <c r="D96" s="8" t="n">
        <f aca="false">underwriting!D20</f>
        <v>5089.56408812075</v>
      </c>
      <c r="E96" s="8" t="n">
        <f aca="false">C96*underwriting!C15/12</f>
        <v>4043.39460881516</v>
      </c>
      <c r="F96" s="8" t="n">
        <f aca="false">D96-E96</f>
        <v>1046.16947930559</v>
      </c>
      <c r="G96" s="8" t="n">
        <f aca="false">C96-F96</f>
        <v>692107.192031864</v>
      </c>
      <c r="H96" s="8" t="n">
        <f aca="false">H95+F96</f>
        <v>72892.8079681355</v>
      </c>
    </row>
    <row r="97" customFormat="false" ht="15" hidden="false" customHeight="false" outlineLevel="0" collapsed="false">
      <c r="B97" s="40" t="n">
        <v>90</v>
      </c>
      <c r="C97" s="8" t="n">
        <f aca="false">G96</f>
        <v>692107.192031864</v>
      </c>
      <c r="D97" s="8" t="n">
        <f aca="false">underwriting!D20</f>
        <v>5089.56408812075</v>
      </c>
      <c r="E97" s="8" t="n">
        <f aca="false">C97*underwriting!C15/12</f>
        <v>4037.29195351921</v>
      </c>
      <c r="F97" s="8" t="n">
        <f aca="false">D97-E97</f>
        <v>1052.27213460154</v>
      </c>
      <c r="G97" s="8" t="n">
        <f aca="false">C97-F97</f>
        <v>691054.919897263</v>
      </c>
      <c r="H97" s="8" t="n">
        <f aca="false">H96+F97</f>
        <v>73945.080102737</v>
      </c>
    </row>
    <row r="98" customFormat="false" ht="15" hidden="false" customHeight="false" outlineLevel="0" collapsed="false">
      <c r="B98" s="40" t="n">
        <v>91</v>
      </c>
      <c r="C98" s="8" t="n">
        <f aca="false">G97</f>
        <v>691054.919897263</v>
      </c>
      <c r="D98" s="8" t="n">
        <f aca="false">underwriting!D20</f>
        <v>5089.56408812075</v>
      </c>
      <c r="E98" s="8" t="n">
        <f aca="false">C98*underwriting!C15/12</f>
        <v>4031.1536994007</v>
      </c>
      <c r="F98" s="8" t="n">
        <f aca="false">D98-E98</f>
        <v>1058.41038872005</v>
      </c>
      <c r="G98" s="8" t="n">
        <f aca="false">C98-F98</f>
        <v>689996.509508543</v>
      </c>
      <c r="H98" s="8" t="n">
        <f aca="false">H97+F98</f>
        <v>75003.4904914571</v>
      </c>
    </row>
    <row r="99" customFormat="false" ht="15" hidden="false" customHeight="false" outlineLevel="0" collapsed="false">
      <c r="B99" s="40" t="n">
        <v>92</v>
      </c>
      <c r="C99" s="8" t="n">
        <f aca="false">G98</f>
        <v>689996.509508543</v>
      </c>
      <c r="D99" s="8" t="n">
        <f aca="false">underwriting!D20</f>
        <v>5089.56408812075</v>
      </c>
      <c r="E99" s="8" t="n">
        <f aca="false">C99*underwriting!C15/12</f>
        <v>4024.97963879983</v>
      </c>
      <c r="F99" s="8" t="n">
        <f aca="false">D99-E99</f>
        <v>1064.58444932091</v>
      </c>
      <c r="G99" s="8" t="n">
        <f aca="false">C99-F99</f>
        <v>688931.925059222</v>
      </c>
      <c r="H99" s="8" t="n">
        <f aca="false">H98+F99</f>
        <v>76068.074940778</v>
      </c>
    </row>
    <row r="100" customFormat="false" ht="15" hidden="false" customHeight="false" outlineLevel="0" collapsed="false">
      <c r="B100" s="40" t="n">
        <v>93</v>
      </c>
      <c r="C100" s="8" t="n">
        <f aca="false">G99</f>
        <v>688931.925059222</v>
      </c>
      <c r="D100" s="8" t="n">
        <f aca="false">underwriting!D20</f>
        <v>5089.56408812075</v>
      </c>
      <c r="E100" s="8" t="n">
        <f aca="false">C100*underwriting!C15/12</f>
        <v>4018.76956284546</v>
      </c>
      <c r="F100" s="8" t="n">
        <f aca="false">D100-E100</f>
        <v>1070.79452527528</v>
      </c>
      <c r="G100" s="8" t="n">
        <f aca="false">C100-F100</f>
        <v>687861.130533947</v>
      </c>
      <c r="H100" s="8" t="n">
        <f aca="false">H99+F100</f>
        <v>77138.8694660533</v>
      </c>
    </row>
    <row r="101" customFormat="false" ht="15" hidden="false" customHeight="false" outlineLevel="0" collapsed="false">
      <c r="B101" s="40" t="n">
        <v>94</v>
      </c>
      <c r="C101" s="8" t="n">
        <f aca="false">G100</f>
        <v>687861.130533947</v>
      </c>
      <c r="D101" s="8" t="n">
        <f aca="false">underwriting!D20</f>
        <v>5089.56408812075</v>
      </c>
      <c r="E101" s="8" t="n">
        <f aca="false">C101*underwriting!C15/12</f>
        <v>4012.52326144802</v>
      </c>
      <c r="F101" s="8" t="n">
        <f aca="false">D101-E101</f>
        <v>1077.04082667272</v>
      </c>
      <c r="G101" s="8" t="n">
        <f aca="false">C101-F101</f>
        <v>686784.089707274</v>
      </c>
      <c r="H101" s="8" t="n">
        <f aca="false">H100+F101</f>
        <v>78215.910292726</v>
      </c>
    </row>
    <row r="102" customFormat="false" ht="15" hidden="false" customHeight="false" outlineLevel="0" collapsed="false">
      <c r="B102" s="40" t="n">
        <v>95</v>
      </c>
      <c r="C102" s="8" t="n">
        <f aca="false">G101</f>
        <v>686784.089707274</v>
      </c>
      <c r="D102" s="8" t="n">
        <f aca="false">underwriting!D20</f>
        <v>5089.56408812075</v>
      </c>
      <c r="E102" s="8" t="n">
        <f aca="false">C102*underwriting!C15/12</f>
        <v>4006.24052329243</v>
      </c>
      <c r="F102" s="8" t="n">
        <f aca="false">D102-E102</f>
        <v>1083.32356482831</v>
      </c>
      <c r="G102" s="8" t="n">
        <f aca="false">C102-F102</f>
        <v>685700.766142446</v>
      </c>
      <c r="H102" s="8" t="n">
        <f aca="false">H101+F102</f>
        <v>79299.2338575543</v>
      </c>
    </row>
    <row r="103" customFormat="false" ht="15" hidden="false" customHeight="false" outlineLevel="0" collapsed="false">
      <c r="B103" s="40" t="n">
        <v>96</v>
      </c>
      <c r="C103" s="8" t="n">
        <f aca="false">G102</f>
        <v>685700.766142446</v>
      </c>
      <c r="D103" s="8" t="n">
        <f aca="false">underwriting!D20</f>
        <v>5089.56408812075</v>
      </c>
      <c r="E103" s="8" t="n">
        <f aca="false">C103*underwriting!C15/12</f>
        <v>3999.92113583093</v>
      </c>
      <c r="F103" s="8" t="n">
        <f aca="false">D103-E103</f>
        <v>1089.64295228981</v>
      </c>
      <c r="G103" s="8" t="n">
        <f aca="false">C103-F103</f>
        <v>684611.123190156</v>
      </c>
      <c r="H103" s="8" t="n">
        <f aca="false">H102+F103</f>
        <v>80388.8768098441</v>
      </c>
    </row>
    <row r="104" customFormat="false" ht="15" hidden="false" customHeight="false" outlineLevel="0" collapsed="false">
      <c r="B104" s="40" t="n">
        <v>97</v>
      </c>
      <c r="C104" s="8" t="n">
        <f aca="false">G103</f>
        <v>684611.123190156</v>
      </c>
      <c r="D104" s="8" t="n">
        <f aca="false">underwriting!D20</f>
        <v>5089.56408812075</v>
      </c>
      <c r="E104" s="8" t="n">
        <f aca="false">C104*underwriting!C15/12</f>
        <v>3993.56488527591</v>
      </c>
      <c r="F104" s="8" t="n">
        <f aca="false">D104-E104</f>
        <v>1095.99920284484</v>
      </c>
      <c r="G104" s="8" t="n">
        <f aca="false">C104-F104</f>
        <v>683515.123987311</v>
      </c>
      <c r="H104" s="8" t="n">
        <f aca="false">H103+F104</f>
        <v>81484.876012689</v>
      </c>
    </row>
    <row r="105" customFormat="false" ht="15" hidden="false" customHeight="false" outlineLevel="0" collapsed="false">
      <c r="B105" s="40" t="n">
        <v>98</v>
      </c>
      <c r="C105" s="8" t="n">
        <f aca="false">G104</f>
        <v>683515.123987311</v>
      </c>
      <c r="D105" s="8" t="n">
        <f aca="false">underwriting!D20</f>
        <v>5089.56408812075</v>
      </c>
      <c r="E105" s="8" t="n">
        <f aca="false">C105*underwriting!C15/12</f>
        <v>3987.17155659265</v>
      </c>
      <c r="F105" s="8" t="n">
        <f aca="false">D105-E105</f>
        <v>1102.3925315281</v>
      </c>
      <c r="G105" s="8" t="n">
        <f aca="false">C105-F105</f>
        <v>682412.731455783</v>
      </c>
      <c r="H105" s="8" t="n">
        <f aca="false">H104+F105</f>
        <v>82587.2685442171</v>
      </c>
    </row>
    <row r="106" customFormat="false" ht="15" hidden="false" customHeight="false" outlineLevel="0" collapsed="false">
      <c r="B106" s="40" t="n">
        <v>99</v>
      </c>
      <c r="C106" s="8" t="n">
        <f aca="false">G105</f>
        <v>682412.731455783</v>
      </c>
      <c r="D106" s="8" t="n">
        <f aca="false">underwriting!D20</f>
        <v>5089.56408812075</v>
      </c>
      <c r="E106" s="8" t="n">
        <f aca="false">C106*underwriting!C15/12</f>
        <v>3980.74093349207</v>
      </c>
      <c r="F106" s="8" t="n">
        <f aca="false">D106-E106</f>
        <v>1108.82315462868</v>
      </c>
      <c r="G106" s="8" t="n">
        <f aca="false">C106-F106</f>
        <v>681303.908301154</v>
      </c>
      <c r="H106" s="8" t="n">
        <f aca="false">H105+F106</f>
        <v>83696.0916988457</v>
      </c>
    </row>
    <row r="107" customFormat="false" ht="15" hidden="false" customHeight="false" outlineLevel="0" collapsed="false">
      <c r="B107" s="40" t="n">
        <v>100</v>
      </c>
      <c r="C107" s="8" t="n">
        <f aca="false">G106</f>
        <v>681303.908301154</v>
      </c>
      <c r="D107" s="8" t="n">
        <f aca="false">underwriting!D20</f>
        <v>5089.56408812075</v>
      </c>
      <c r="E107" s="8" t="n">
        <f aca="false">C107*underwriting!C15/12</f>
        <v>3974.2727984234</v>
      </c>
      <c r="F107" s="8" t="n">
        <f aca="false">D107-E107</f>
        <v>1115.29128969734</v>
      </c>
      <c r="G107" s="8" t="n">
        <f aca="false">C107-F107</f>
        <v>680188.617011457</v>
      </c>
      <c r="H107" s="8" t="n">
        <f aca="false">H106+F107</f>
        <v>84811.3829885431</v>
      </c>
    </row>
    <row r="108" customFormat="false" ht="15" hidden="false" customHeight="false" outlineLevel="0" collapsed="false">
      <c r="B108" s="40" t="n">
        <v>101</v>
      </c>
      <c r="C108" s="8" t="n">
        <f aca="false">G107</f>
        <v>680188.617011457</v>
      </c>
      <c r="D108" s="8" t="n">
        <f aca="false">underwriting!D20</f>
        <v>5089.56408812075</v>
      </c>
      <c r="E108" s="8" t="n">
        <f aca="false">C108*underwriting!C15/12</f>
        <v>3967.76693256683</v>
      </c>
      <c r="F108" s="8" t="n">
        <f aca="false">D108-E108</f>
        <v>1121.79715555391</v>
      </c>
      <c r="G108" s="8" t="n">
        <f aca="false">C108-F108</f>
        <v>679066.819855903</v>
      </c>
      <c r="H108" s="8" t="n">
        <f aca="false">H107+F108</f>
        <v>85933.180144097</v>
      </c>
    </row>
    <row r="109" customFormat="false" ht="15" hidden="false" customHeight="false" outlineLevel="0" collapsed="false">
      <c r="B109" s="40" t="n">
        <v>102</v>
      </c>
      <c r="C109" s="8" t="n">
        <f aca="false">G108</f>
        <v>679066.819855903</v>
      </c>
      <c r="D109" s="8" t="n">
        <f aca="false">underwriting!D20</f>
        <v>5089.56408812075</v>
      </c>
      <c r="E109" s="8" t="n">
        <f aca="false">C109*underwriting!C15/12</f>
        <v>3961.2231158261</v>
      </c>
      <c r="F109" s="8" t="n">
        <f aca="false">D109-E109</f>
        <v>1128.34097229464</v>
      </c>
      <c r="G109" s="8" t="n">
        <f aca="false">C109-F109</f>
        <v>677938.478883608</v>
      </c>
      <c r="H109" s="8" t="n">
        <f aca="false">H108+F109</f>
        <v>87061.5211163916</v>
      </c>
    </row>
    <row r="110" customFormat="false" ht="15" hidden="false" customHeight="false" outlineLevel="0" collapsed="false">
      <c r="B110" s="40" t="n">
        <v>103</v>
      </c>
      <c r="C110" s="8" t="n">
        <f aca="false">G109</f>
        <v>677938.478883608</v>
      </c>
      <c r="D110" s="8" t="n">
        <f aca="false">underwriting!D20</f>
        <v>5089.56408812075</v>
      </c>
      <c r="E110" s="8" t="n">
        <f aca="false">C110*underwriting!C15/12</f>
        <v>3954.64112682105</v>
      </c>
      <c r="F110" s="8" t="n">
        <f aca="false">D110-E110</f>
        <v>1134.9229612997</v>
      </c>
      <c r="G110" s="8" t="n">
        <f aca="false">C110-F110</f>
        <v>676803.555922309</v>
      </c>
      <c r="H110" s="8" t="n">
        <f aca="false">H109+F110</f>
        <v>88196.4440776913</v>
      </c>
    </row>
    <row r="111" customFormat="false" ht="15" hidden="false" customHeight="false" outlineLevel="0" collapsed="false">
      <c r="B111" s="40" t="n">
        <v>104</v>
      </c>
      <c r="C111" s="8" t="n">
        <f aca="false">G110</f>
        <v>676803.555922309</v>
      </c>
      <c r="D111" s="8" t="n">
        <f aca="false">underwriting!D20</f>
        <v>5089.56408812075</v>
      </c>
      <c r="E111" s="8" t="n">
        <f aca="false">C111*underwriting!C15/12</f>
        <v>3948.02074288013</v>
      </c>
      <c r="F111" s="8" t="n">
        <f aca="false">D111-E111</f>
        <v>1141.54334524061</v>
      </c>
      <c r="G111" s="8" t="n">
        <f aca="false">C111-F111</f>
        <v>675662.012577068</v>
      </c>
      <c r="H111" s="8" t="n">
        <f aca="false">H110+F111</f>
        <v>89337.9874229319</v>
      </c>
    </row>
    <row r="112" customFormat="false" ht="15" hidden="false" customHeight="false" outlineLevel="0" collapsed="false">
      <c r="B112" s="40" t="n">
        <v>105</v>
      </c>
      <c r="C112" s="8" t="n">
        <f aca="false">G111</f>
        <v>675662.012577068</v>
      </c>
      <c r="D112" s="8" t="n">
        <f aca="false">underwriting!D20</f>
        <v>5089.56408812075</v>
      </c>
      <c r="E112" s="8" t="n">
        <f aca="false">C112*underwriting!C15/12</f>
        <v>3941.3617400329</v>
      </c>
      <c r="F112" s="8" t="n">
        <f aca="false">D112-E112</f>
        <v>1148.20234808785</v>
      </c>
      <c r="G112" s="8" t="n">
        <f aca="false">C112-F112</f>
        <v>674513.81022898</v>
      </c>
      <c r="H112" s="8" t="n">
        <f aca="false">H111+F112</f>
        <v>90486.1897710198</v>
      </c>
    </row>
    <row r="113" customFormat="false" ht="15" hidden="false" customHeight="false" outlineLevel="0" collapsed="false">
      <c r="B113" s="40" t="n">
        <v>106</v>
      </c>
      <c r="C113" s="8" t="n">
        <f aca="false">G112</f>
        <v>674513.81022898</v>
      </c>
      <c r="D113" s="8" t="n">
        <f aca="false">underwriting!D20</f>
        <v>5089.56408812075</v>
      </c>
      <c r="E113" s="8" t="n">
        <f aca="false">C113*underwriting!C15/12</f>
        <v>3934.66389300238</v>
      </c>
      <c r="F113" s="8" t="n">
        <f aca="false">D113-E113</f>
        <v>1154.90019511836</v>
      </c>
      <c r="G113" s="8" t="n">
        <f aca="false">C113-F113</f>
        <v>673358.910033862</v>
      </c>
      <c r="H113" s="8" t="n">
        <f aca="false">H112+F113</f>
        <v>91641.0899661381</v>
      </c>
    </row>
    <row r="114" customFormat="false" ht="15" hidden="false" customHeight="false" outlineLevel="0" collapsed="false">
      <c r="B114" s="40" t="n">
        <v>107</v>
      </c>
      <c r="C114" s="8" t="n">
        <f aca="false">G113</f>
        <v>673358.910033862</v>
      </c>
      <c r="D114" s="8" t="n">
        <f aca="false">underwriting!D20</f>
        <v>5089.56408812075</v>
      </c>
      <c r="E114" s="8" t="n">
        <f aca="false">C114*underwriting!C15/12</f>
        <v>3927.92697519753</v>
      </c>
      <c r="F114" s="8" t="n">
        <f aca="false">D114-E114</f>
        <v>1161.63711292322</v>
      </c>
      <c r="G114" s="8" t="n">
        <f aca="false">C114-F114</f>
        <v>672197.272920939</v>
      </c>
      <c r="H114" s="8" t="n">
        <f aca="false">H113+F114</f>
        <v>92802.7270790614</v>
      </c>
    </row>
    <row r="115" customFormat="false" ht="15" hidden="false" customHeight="false" outlineLevel="0" collapsed="false">
      <c r="B115" s="40" t="n">
        <v>108</v>
      </c>
      <c r="C115" s="8" t="n">
        <f aca="false">G114</f>
        <v>672197.272920939</v>
      </c>
      <c r="D115" s="8" t="n">
        <f aca="false">underwriting!D20</f>
        <v>5089.56408812075</v>
      </c>
      <c r="E115" s="8" t="n">
        <f aca="false">C115*underwriting!C15/12</f>
        <v>3921.15075870548</v>
      </c>
      <c r="F115" s="8" t="n">
        <f aca="false">D115-E115</f>
        <v>1168.41332941527</v>
      </c>
      <c r="G115" s="8" t="n">
        <f aca="false">C115-F115</f>
        <v>671028.859591523</v>
      </c>
      <c r="H115" s="8" t="n">
        <f aca="false">H114+F115</f>
        <v>93971.1404084766</v>
      </c>
    </row>
    <row r="116" customFormat="false" ht="15" hidden="false" customHeight="false" outlineLevel="0" collapsed="false">
      <c r="B116" s="40" t="n">
        <v>109</v>
      </c>
      <c r="C116" s="8" t="n">
        <f aca="false">G115</f>
        <v>671028.859591523</v>
      </c>
      <c r="D116" s="8" t="n">
        <f aca="false">underwriting!D20</f>
        <v>5089.56408812075</v>
      </c>
      <c r="E116" s="8" t="n">
        <f aca="false">C116*underwriting!C15/12</f>
        <v>3914.33501428389</v>
      </c>
      <c r="F116" s="8" t="n">
        <f aca="false">D116-E116</f>
        <v>1175.22907383686</v>
      </c>
      <c r="G116" s="8" t="n">
        <f aca="false">C116-F116</f>
        <v>669853.630517687</v>
      </c>
      <c r="H116" s="8" t="n">
        <f aca="false">H115+F116</f>
        <v>95146.3694823135</v>
      </c>
    </row>
    <row r="117" customFormat="false" ht="15" hidden="false" customHeight="false" outlineLevel="0" collapsed="false">
      <c r="B117" s="40" t="n">
        <v>110</v>
      </c>
      <c r="C117" s="8" t="n">
        <f aca="false">G116</f>
        <v>669853.630517687</v>
      </c>
      <c r="D117" s="8" t="n">
        <f aca="false">underwriting!D20</f>
        <v>5089.56408812075</v>
      </c>
      <c r="E117" s="8" t="n">
        <f aca="false">C117*underwriting!C15/12</f>
        <v>3907.47951135317</v>
      </c>
      <c r="F117" s="8" t="n">
        <f aca="false">D117-E117</f>
        <v>1182.08457676757</v>
      </c>
      <c r="G117" s="8" t="n">
        <f aca="false">C117-F117</f>
        <v>668671.545940919</v>
      </c>
      <c r="H117" s="8" t="n">
        <f aca="false">H116+F117</f>
        <v>96328.4540590811</v>
      </c>
    </row>
    <row r="118" customFormat="false" ht="15" hidden="false" customHeight="false" outlineLevel="0" collapsed="false">
      <c r="B118" s="40" t="n">
        <v>111</v>
      </c>
      <c r="C118" s="8" t="n">
        <f aca="false">G117</f>
        <v>668671.545940919</v>
      </c>
      <c r="D118" s="8" t="n">
        <f aca="false">underwriting!D20</f>
        <v>5089.56408812075</v>
      </c>
      <c r="E118" s="8" t="n">
        <f aca="false">C118*underwriting!C15/12</f>
        <v>3900.58401798869</v>
      </c>
      <c r="F118" s="8" t="n">
        <f aca="false">D118-E118</f>
        <v>1188.98007013205</v>
      </c>
      <c r="G118" s="8" t="n">
        <f aca="false">C118-F118</f>
        <v>667482.565870787</v>
      </c>
      <c r="H118" s="8" t="n">
        <f aca="false">H117+F118</f>
        <v>97517.4341292131</v>
      </c>
    </row>
    <row r="119" customFormat="false" ht="15" hidden="false" customHeight="false" outlineLevel="0" collapsed="false">
      <c r="B119" s="40" t="n">
        <v>112</v>
      </c>
      <c r="C119" s="8" t="n">
        <f aca="false">G118</f>
        <v>667482.565870787</v>
      </c>
      <c r="D119" s="8" t="n">
        <f aca="false">underwriting!D20</f>
        <v>5089.56408812075</v>
      </c>
      <c r="E119" s="8" t="n">
        <f aca="false">C119*underwriting!C15/12</f>
        <v>3893.64830091292</v>
      </c>
      <c r="F119" s="8" t="n">
        <f aca="false">D119-E119</f>
        <v>1195.91578720782</v>
      </c>
      <c r="G119" s="8" t="n">
        <f aca="false">C119-F119</f>
        <v>666286.650083579</v>
      </c>
      <c r="H119" s="8" t="n">
        <f aca="false">H118+F119</f>
        <v>98713.3499164209</v>
      </c>
    </row>
    <row r="120" customFormat="false" ht="15" hidden="false" customHeight="false" outlineLevel="0" collapsed="false">
      <c r="B120" s="40" t="n">
        <v>113</v>
      </c>
      <c r="C120" s="8" t="n">
        <f aca="false">G119</f>
        <v>666286.650083579</v>
      </c>
      <c r="D120" s="8" t="n">
        <f aca="false">underwriting!D20</f>
        <v>5089.56408812075</v>
      </c>
      <c r="E120" s="8" t="n">
        <f aca="false">C120*underwriting!C15/12</f>
        <v>3886.67212548755</v>
      </c>
      <c r="F120" s="8" t="n">
        <f aca="false">D120-E120</f>
        <v>1202.8919626332</v>
      </c>
      <c r="G120" s="8" t="n">
        <f aca="false">C120-F120</f>
        <v>665083.758120946</v>
      </c>
      <c r="H120" s="8" t="n">
        <f aca="false">H119+F120</f>
        <v>99916.2418790541</v>
      </c>
    </row>
    <row r="121" customFormat="false" ht="15" hidden="false" customHeight="false" outlineLevel="0" collapsed="false">
      <c r="B121" s="40" t="n">
        <v>114</v>
      </c>
      <c r="C121" s="8" t="n">
        <f aca="false">G120</f>
        <v>665083.758120946</v>
      </c>
      <c r="D121" s="8" t="n">
        <f aca="false">underwriting!D20</f>
        <v>5089.56408812075</v>
      </c>
      <c r="E121" s="8" t="n">
        <f aca="false">C121*underwriting!C15/12</f>
        <v>3879.65525570552</v>
      </c>
      <c r="F121" s="8" t="n">
        <f aca="false">D121-E121</f>
        <v>1209.90883241523</v>
      </c>
      <c r="G121" s="8" t="n">
        <f aca="false">C121-F121</f>
        <v>663873.849288531</v>
      </c>
      <c r="H121" s="8" t="n">
        <f aca="false">H120+F121</f>
        <v>101126.150711469</v>
      </c>
    </row>
    <row r="122" customFormat="false" ht="15" hidden="false" customHeight="false" outlineLevel="0" collapsed="false">
      <c r="B122" s="40" t="n">
        <v>115</v>
      </c>
      <c r="C122" s="8" t="n">
        <f aca="false">G121</f>
        <v>663873.849288531</v>
      </c>
      <c r="D122" s="8" t="n">
        <f aca="false">underwriting!D20</f>
        <v>5089.56408812075</v>
      </c>
      <c r="E122" s="8" t="n">
        <f aca="false">C122*underwriting!C15/12</f>
        <v>3872.5974541831</v>
      </c>
      <c r="F122" s="8" t="n">
        <f aca="false">D122-E122</f>
        <v>1216.96663393765</v>
      </c>
      <c r="G122" s="8" t="n">
        <f aca="false">C122-F122</f>
        <v>662656.882654593</v>
      </c>
      <c r="H122" s="8" t="n">
        <f aca="false">H121+F122</f>
        <v>102343.117345407</v>
      </c>
    </row>
    <row r="123" customFormat="false" ht="15" hidden="false" customHeight="false" outlineLevel="0" collapsed="false">
      <c r="B123" s="40" t="n">
        <v>116</v>
      </c>
      <c r="C123" s="8" t="n">
        <f aca="false">G122</f>
        <v>662656.882654593</v>
      </c>
      <c r="D123" s="8" t="n">
        <f aca="false">underwriting!D20</f>
        <v>5089.56408812075</v>
      </c>
      <c r="E123" s="8" t="n">
        <f aca="false">C123*underwriting!C15/12</f>
        <v>3865.49848215179</v>
      </c>
      <c r="F123" s="8" t="n">
        <f aca="false">D123-E123</f>
        <v>1224.06560596895</v>
      </c>
      <c r="G123" s="8" t="n">
        <f aca="false">C123-F123</f>
        <v>661432.817048624</v>
      </c>
      <c r="H123" s="8" t="n">
        <f aca="false">H122+F123</f>
        <v>103567.182951376</v>
      </c>
    </row>
    <row r="124" customFormat="false" ht="15" hidden="false" customHeight="false" outlineLevel="0" collapsed="false">
      <c r="B124" s="40" t="n">
        <v>117</v>
      </c>
      <c r="C124" s="8" t="n">
        <f aca="false">G123</f>
        <v>661432.817048624</v>
      </c>
      <c r="D124" s="8" t="n">
        <f aca="false">underwriting!D20</f>
        <v>5089.56408812075</v>
      </c>
      <c r="E124" s="8" t="n">
        <f aca="false">C124*underwriting!C15/12</f>
        <v>3858.35809945031</v>
      </c>
      <c r="F124" s="8" t="n">
        <f aca="false">D124-E124</f>
        <v>1231.20598867044</v>
      </c>
      <c r="G124" s="8" t="n">
        <f aca="false">C124-F124</f>
        <v>660201.611059954</v>
      </c>
      <c r="H124" s="8" t="n">
        <f aca="false">H123+F124</f>
        <v>104798.388940046</v>
      </c>
    </row>
    <row r="125" customFormat="false" ht="15" hidden="false" customHeight="false" outlineLevel="0" collapsed="false">
      <c r="B125" s="40" t="n">
        <v>118</v>
      </c>
      <c r="C125" s="8" t="n">
        <f aca="false">G124</f>
        <v>660201.611059954</v>
      </c>
      <c r="D125" s="8" t="n">
        <f aca="false">underwriting!D20</f>
        <v>5089.56408812075</v>
      </c>
      <c r="E125" s="8" t="n">
        <f aca="false">C125*underwriting!C15/12</f>
        <v>3851.1760645164</v>
      </c>
      <c r="F125" s="8" t="n">
        <f aca="false">D125-E125</f>
        <v>1238.38802360435</v>
      </c>
      <c r="G125" s="8" t="n">
        <f aca="false">C125-F125</f>
        <v>658963.223036349</v>
      </c>
      <c r="H125" s="8" t="n">
        <f aca="false">H124+F125</f>
        <v>106036.776963651</v>
      </c>
    </row>
    <row r="126" customFormat="false" ht="15" hidden="false" customHeight="false" outlineLevel="0" collapsed="false">
      <c r="B126" s="40" t="n">
        <v>119</v>
      </c>
      <c r="C126" s="8" t="n">
        <f aca="false">G125</f>
        <v>658963.223036349</v>
      </c>
      <c r="D126" s="8" t="n">
        <f aca="false">underwriting!D20</f>
        <v>5089.56408812075</v>
      </c>
      <c r="E126" s="8" t="n">
        <f aca="false">C126*underwriting!C15/12</f>
        <v>3843.9521343787</v>
      </c>
      <c r="F126" s="8" t="n">
        <f aca="false">D126-E126</f>
        <v>1245.61195374204</v>
      </c>
      <c r="G126" s="8" t="n">
        <f aca="false">C126-F126</f>
        <v>657717.611082607</v>
      </c>
      <c r="H126" s="8" t="n">
        <f aca="false">H125+F126</f>
        <v>107282.388917393</v>
      </c>
    </row>
    <row r="127" customFormat="false" ht="15" hidden="false" customHeight="false" outlineLevel="0" collapsed="false">
      <c r="B127" s="40" t="n">
        <v>120</v>
      </c>
      <c r="C127" s="8" t="n">
        <f aca="false">G126</f>
        <v>657717.611082607</v>
      </c>
      <c r="D127" s="8" t="n">
        <f aca="false">underwriting!D20</f>
        <v>5089.56408812075</v>
      </c>
      <c r="E127" s="8" t="n">
        <f aca="false">C127*underwriting!C15/12</f>
        <v>3836.68606464854</v>
      </c>
      <c r="F127" s="8" t="n">
        <f aca="false">D127-E127</f>
        <v>1252.8780234722</v>
      </c>
      <c r="G127" s="8" t="n">
        <f aca="false">C127-F127</f>
        <v>656464.733059135</v>
      </c>
      <c r="H127" s="8" t="n">
        <f aca="false">H126+F127</f>
        <v>108535.266940865</v>
      </c>
    </row>
    <row r="128" customFormat="false" ht="15" hidden="false" customHeight="false" outlineLevel="0" collapsed="false">
      <c r="B128" s="40" t="n">
        <v>121</v>
      </c>
      <c r="C128" s="8" t="n">
        <f aca="false">G127</f>
        <v>656464.733059135</v>
      </c>
      <c r="D128" s="8" t="n">
        <f aca="false">underwriting!D20</f>
        <v>5089.56408812075</v>
      </c>
      <c r="E128" s="8" t="n">
        <f aca="false">C128*underwriting!C15/12</f>
        <v>3829.37760951162</v>
      </c>
      <c r="F128" s="8" t="n">
        <f aca="false">D128-E128</f>
        <v>1260.18647860912</v>
      </c>
      <c r="G128" s="8" t="n">
        <f aca="false">C128-F128</f>
        <v>655204.546580526</v>
      </c>
      <c r="H128" s="8" t="n">
        <f aca="false">H127+F128</f>
        <v>109795.453419474</v>
      </c>
    </row>
    <row r="129" customFormat="false" ht="15" hidden="false" customHeight="false" outlineLevel="0" collapsed="false">
      <c r="B129" s="40" t="n">
        <v>122</v>
      </c>
      <c r="C129" s="8" t="n">
        <f aca="false">G128</f>
        <v>655204.546580526</v>
      </c>
      <c r="D129" s="8" t="n">
        <f aca="false">underwriting!D20</f>
        <v>5089.56408812075</v>
      </c>
      <c r="E129" s="8" t="n">
        <f aca="false">C129*underwriting!C15/12</f>
        <v>3822.02652171974</v>
      </c>
      <c r="F129" s="8" t="n">
        <f aca="false">D129-E129</f>
        <v>1267.53756640101</v>
      </c>
      <c r="G129" s="8" t="n">
        <f aca="false">C129-F129</f>
        <v>653937.009014125</v>
      </c>
      <c r="H129" s="8" t="n">
        <f aca="false">H128+F129</f>
        <v>111062.990985875</v>
      </c>
    </row>
    <row r="130" customFormat="false" ht="15" hidden="false" customHeight="false" outlineLevel="0" collapsed="false">
      <c r="B130" s="40" t="n">
        <v>123</v>
      </c>
      <c r="C130" s="8" t="n">
        <f aca="false">G129</f>
        <v>653937.009014125</v>
      </c>
      <c r="D130" s="8" t="n">
        <f aca="false">underwriting!D20</f>
        <v>5089.56408812075</v>
      </c>
      <c r="E130" s="8" t="n">
        <f aca="false">C130*underwriting!C15/12</f>
        <v>3814.6325525824</v>
      </c>
      <c r="F130" s="8" t="n">
        <f aca="false">D130-E130</f>
        <v>1274.93153553835</v>
      </c>
      <c r="G130" s="8" t="n">
        <f aca="false">C130-F130</f>
        <v>652662.077478587</v>
      </c>
      <c r="H130" s="8" t="n">
        <f aca="false">H129+F130</f>
        <v>112337.922521413</v>
      </c>
    </row>
    <row r="131" customFormat="false" ht="15" hidden="false" customHeight="false" outlineLevel="0" collapsed="false">
      <c r="B131" s="40" t="n">
        <v>124</v>
      </c>
      <c r="C131" s="8" t="n">
        <f aca="false">G130</f>
        <v>652662.077478587</v>
      </c>
      <c r="D131" s="8" t="n">
        <f aca="false">underwriting!D20</f>
        <v>5089.56408812075</v>
      </c>
      <c r="E131" s="8" t="n">
        <f aca="false">C131*underwriting!C15/12</f>
        <v>3807.19545195842</v>
      </c>
      <c r="F131" s="8" t="n">
        <f aca="false">D131-E131</f>
        <v>1282.36863616232</v>
      </c>
      <c r="G131" s="8" t="n">
        <f aca="false">C131-F131</f>
        <v>651379.708842424</v>
      </c>
      <c r="H131" s="8" t="n">
        <f aca="false">H130+F131</f>
        <v>113620.291157576</v>
      </c>
    </row>
    <row r="132" customFormat="false" ht="15" hidden="false" customHeight="false" outlineLevel="0" collapsed="false">
      <c r="B132" s="40" t="n">
        <v>125</v>
      </c>
      <c r="C132" s="8" t="n">
        <f aca="false">G131</f>
        <v>651379.708842424</v>
      </c>
      <c r="D132" s="8" t="n">
        <f aca="false">underwriting!D20</f>
        <v>5089.56408812075</v>
      </c>
      <c r="E132" s="8" t="n">
        <f aca="false">C132*underwriting!C15/12</f>
        <v>3799.71496824747</v>
      </c>
      <c r="F132" s="8" t="n">
        <f aca="false">D132-E132</f>
        <v>1289.84911987327</v>
      </c>
      <c r="G132" s="8" t="n">
        <f aca="false">C132-F132</f>
        <v>650089.859722551</v>
      </c>
      <c r="H132" s="8" t="n">
        <f aca="false">H131+F132</f>
        <v>114910.140277449</v>
      </c>
    </row>
    <row r="133" customFormat="false" ht="15" hidden="false" customHeight="false" outlineLevel="0" collapsed="false">
      <c r="B133" s="40" t="n">
        <v>126</v>
      </c>
      <c r="C133" s="8" t="n">
        <f aca="false">G132</f>
        <v>650089.859722551</v>
      </c>
      <c r="D133" s="8" t="n">
        <f aca="false">underwriting!D20</f>
        <v>5089.56408812075</v>
      </c>
      <c r="E133" s="8" t="n">
        <f aca="false">C133*underwriting!C15/12</f>
        <v>3792.19084838155</v>
      </c>
      <c r="F133" s="8" t="n">
        <f aca="false">D133-E133</f>
        <v>1297.3732397392</v>
      </c>
      <c r="G133" s="8" t="n">
        <f aca="false">C133-F133</f>
        <v>648792.486482812</v>
      </c>
      <c r="H133" s="8" t="n">
        <f aca="false">H132+F133</f>
        <v>116207.513517188</v>
      </c>
    </row>
    <row r="134" customFormat="false" ht="15" hidden="false" customHeight="false" outlineLevel="0" collapsed="false">
      <c r="B134" s="40" t="n">
        <v>127</v>
      </c>
      <c r="C134" s="8" t="n">
        <f aca="false">G133</f>
        <v>648792.486482812</v>
      </c>
      <c r="D134" s="8" t="n">
        <f aca="false">underwriting!D20</f>
        <v>5089.56408812075</v>
      </c>
      <c r="E134" s="8" t="n">
        <f aca="false">C134*underwriting!C15/12</f>
        <v>3784.6228378164</v>
      </c>
      <c r="F134" s="8" t="n">
        <f aca="false">D134-E134</f>
        <v>1304.94125030434</v>
      </c>
      <c r="G134" s="8" t="n">
        <f aca="false">C134-F134</f>
        <v>647487.545232507</v>
      </c>
      <c r="H134" s="8" t="n">
        <f aca="false">H133+F134</f>
        <v>117512.454767493</v>
      </c>
    </row>
    <row r="135" customFormat="false" ht="15" hidden="false" customHeight="false" outlineLevel="0" collapsed="false">
      <c r="B135" s="40" t="n">
        <v>128</v>
      </c>
      <c r="C135" s="8" t="n">
        <f aca="false">G134</f>
        <v>647487.545232507</v>
      </c>
      <c r="D135" s="8" t="n">
        <f aca="false">underwriting!D20</f>
        <v>5089.56408812075</v>
      </c>
      <c r="E135" s="8" t="n">
        <f aca="false">C135*underwriting!C15/12</f>
        <v>3777.01068052296</v>
      </c>
      <c r="F135" s="8" t="n">
        <f aca="false">D135-E135</f>
        <v>1312.55340759779</v>
      </c>
      <c r="G135" s="8" t="n">
        <f aca="false">C135-F135</f>
        <v>646174.99182491</v>
      </c>
      <c r="H135" s="8" t="n">
        <f aca="false">H134+F135</f>
        <v>118825.00817509</v>
      </c>
    </row>
    <row r="136" customFormat="false" ht="15" hidden="false" customHeight="false" outlineLevel="0" collapsed="false">
      <c r="B136" s="40" t="n">
        <v>129</v>
      </c>
      <c r="C136" s="8" t="n">
        <f aca="false">G135</f>
        <v>646174.99182491</v>
      </c>
      <c r="D136" s="8" t="n">
        <f aca="false">underwriting!D20</f>
        <v>5089.56408812075</v>
      </c>
      <c r="E136" s="8" t="n">
        <f aca="false">C136*underwriting!C15/12</f>
        <v>3769.35411897864</v>
      </c>
      <c r="F136" s="8" t="n">
        <f aca="false">D136-E136</f>
        <v>1320.20996914211</v>
      </c>
      <c r="G136" s="8" t="n">
        <f aca="false">C136-F136</f>
        <v>644854.781855767</v>
      </c>
      <c r="H136" s="8" t="n">
        <f aca="false">H135+F136</f>
        <v>120145.218144233</v>
      </c>
    </row>
    <row r="137" customFormat="false" ht="15" hidden="false" customHeight="false" outlineLevel="0" collapsed="false">
      <c r="B137" s="40" t="n">
        <v>130</v>
      </c>
      <c r="C137" s="8" t="n">
        <f aca="false">G136</f>
        <v>644854.781855767</v>
      </c>
      <c r="D137" s="8" t="n">
        <f aca="false">underwriting!D20</f>
        <v>5089.56408812075</v>
      </c>
      <c r="E137" s="8" t="n">
        <f aca="false">C137*underwriting!C15/12</f>
        <v>3761.65289415864</v>
      </c>
      <c r="F137" s="8" t="n">
        <f aca="false">D137-E137</f>
        <v>1327.9111939621</v>
      </c>
      <c r="G137" s="8" t="n">
        <f aca="false">C137-F137</f>
        <v>643526.870661805</v>
      </c>
      <c r="H137" s="8" t="n">
        <f aca="false">H136+F137</f>
        <v>121473.129338195</v>
      </c>
    </row>
    <row r="138" customFormat="false" ht="15" hidden="false" customHeight="false" outlineLevel="0" collapsed="false">
      <c r="B138" s="40" t="n">
        <v>131</v>
      </c>
      <c r="C138" s="8" t="n">
        <f aca="false">G137</f>
        <v>643526.870661805</v>
      </c>
      <c r="D138" s="8" t="n">
        <f aca="false">underwriting!D20</f>
        <v>5089.56408812075</v>
      </c>
      <c r="E138" s="8" t="n">
        <f aca="false">C138*underwriting!C15/12</f>
        <v>3753.9067455272</v>
      </c>
      <c r="F138" s="8" t="n">
        <f aca="false">D138-E138</f>
        <v>1335.65734259355</v>
      </c>
      <c r="G138" s="8" t="n">
        <f aca="false">C138-F138</f>
        <v>642191.213319212</v>
      </c>
      <c r="H138" s="8" t="n">
        <f aca="false">H137+F138</f>
        <v>122808.786680788</v>
      </c>
    </row>
    <row r="139" customFormat="false" ht="15" hidden="false" customHeight="false" outlineLevel="0" collapsed="false">
      <c r="B139" s="40" t="n">
        <v>132</v>
      </c>
      <c r="C139" s="8" t="n">
        <f aca="false">G138</f>
        <v>642191.213319212</v>
      </c>
      <c r="D139" s="8" t="n">
        <f aca="false">underwriting!D20</f>
        <v>5089.56408812075</v>
      </c>
      <c r="E139" s="8" t="n">
        <f aca="false">C139*underwriting!C15/12</f>
        <v>3746.11541102874</v>
      </c>
      <c r="F139" s="8" t="n">
        <f aca="false">D139-E139</f>
        <v>1343.44867709201</v>
      </c>
      <c r="G139" s="8" t="n">
        <f aca="false">C139-F139</f>
        <v>640847.76464212</v>
      </c>
      <c r="H139" s="8" t="n">
        <f aca="false">H138+F139</f>
        <v>124152.23535788</v>
      </c>
    </row>
    <row r="140" customFormat="false" ht="15" hidden="false" customHeight="false" outlineLevel="0" collapsed="false">
      <c r="B140" s="40" t="n">
        <v>133</v>
      </c>
      <c r="C140" s="8" t="n">
        <f aca="false">G139</f>
        <v>640847.76464212</v>
      </c>
      <c r="D140" s="8" t="n">
        <f aca="false">underwriting!D20</f>
        <v>5089.56408812075</v>
      </c>
      <c r="E140" s="8" t="n">
        <f aca="false">C140*underwriting!C15/12</f>
        <v>3738.27862707903</v>
      </c>
      <c r="F140" s="8" t="n">
        <f aca="false">D140-E140</f>
        <v>1351.28546104171</v>
      </c>
      <c r="G140" s="8" t="n">
        <f aca="false">C140-F140</f>
        <v>639496.479181078</v>
      </c>
      <c r="H140" s="8" t="n">
        <f aca="false">H139+F140</f>
        <v>125503.520818922</v>
      </c>
    </row>
    <row r="141" customFormat="false" ht="15" hidden="false" customHeight="false" outlineLevel="0" collapsed="false">
      <c r="B141" s="40" t="n">
        <v>134</v>
      </c>
      <c r="C141" s="8" t="n">
        <f aca="false">G140</f>
        <v>639496.479181078</v>
      </c>
      <c r="D141" s="8" t="n">
        <f aca="false">underwriting!D20</f>
        <v>5089.56408812075</v>
      </c>
      <c r="E141" s="8" t="n">
        <f aca="false">C141*underwriting!C15/12</f>
        <v>3730.39612855629</v>
      </c>
      <c r="F141" s="8" t="n">
        <f aca="false">D141-E141</f>
        <v>1359.16795956446</v>
      </c>
      <c r="G141" s="8" t="n">
        <f aca="false">C141-F141</f>
        <v>638137.311221514</v>
      </c>
      <c r="H141" s="8" t="n">
        <f aca="false">H140+F141</f>
        <v>126862.688778486</v>
      </c>
    </row>
    <row r="142" customFormat="false" ht="15" hidden="false" customHeight="false" outlineLevel="0" collapsed="false">
      <c r="B142" s="40" t="n">
        <v>135</v>
      </c>
      <c r="C142" s="8" t="n">
        <f aca="false">G141</f>
        <v>638137.311221514</v>
      </c>
      <c r="D142" s="8" t="n">
        <f aca="false">underwriting!D20</f>
        <v>5089.56408812075</v>
      </c>
      <c r="E142" s="8" t="n">
        <f aca="false">C142*underwriting!C15/12</f>
        <v>3722.46764879216</v>
      </c>
      <c r="F142" s="8" t="n">
        <f aca="false">D142-E142</f>
        <v>1367.09643932858</v>
      </c>
      <c r="G142" s="8" t="n">
        <f aca="false">C142-F142</f>
        <v>636770.214782185</v>
      </c>
      <c r="H142" s="8" t="n">
        <f aca="false">H141+F142</f>
        <v>128229.785217815</v>
      </c>
    </row>
    <row r="143" customFormat="false" ht="15" hidden="false" customHeight="false" outlineLevel="0" collapsed="false">
      <c r="B143" s="40" t="n">
        <v>136</v>
      </c>
      <c r="C143" s="8" t="n">
        <f aca="false">G142</f>
        <v>636770.214782185</v>
      </c>
      <c r="D143" s="8" t="n">
        <f aca="false">underwriting!D20</f>
        <v>5089.56408812075</v>
      </c>
      <c r="E143" s="8" t="n">
        <f aca="false">C143*underwriting!C15/12</f>
        <v>3714.49291956275</v>
      </c>
      <c r="F143" s="8" t="n">
        <f aca="false">D143-E143</f>
        <v>1375.071168558</v>
      </c>
      <c r="G143" s="8" t="n">
        <f aca="false">C143-F143</f>
        <v>635395.143613627</v>
      </c>
      <c r="H143" s="8" t="n">
        <f aca="false">H142+F143</f>
        <v>129604.856386373</v>
      </c>
    </row>
    <row r="144" customFormat="false" ht="15" hidden="false" customHeight="false" outlineLevel="0" collapsed="false">
      <c r="B144" s="40" t="n">
        <v>137</v>
      </c>
      <c r="C144" s="8" t="n">
        <f aca="false">G143</f>
        <v>635395.143613627</v>
      </c>
      <c r="D144" s="8" t="n">
        <f aca="false">underwriting!D20</f>
        <v>5089.56408812075</v>
      </c>
      <c r="E144" s="8" t="n">
        <f aca="false">C144*underwriting!C15/12</f>
        <v>3706.47167107949</v>
      </c>
      <c r="F144" s="8" t="n">
        <f aca="false">D144-E144</f>
        <v>1383.09241704125</v>
      </c>
      <c r="G144" s="8" t="n">
        <f aca="false">C144-F144</f>
        <v>634012.051196586</v>
      </c>
      <c r="H144" s="8" t="n">
        <f aca="false">H143+F144</f>
        <v>130987.948803414</v>
      </c>
    </row>
    <row r="145" customFormat="false" ht="15" hidden="false" customHeight="false" outlineLevel="0" collapsed="false">
      <c r="B145" s="40" t="n">
        <v>138</v>
      </c>
      <c r="C145" s="8" t="n">
        <f aca="false">G144</f>
        <v>634012.051196586</v>
      </c>
      <c r="D145" s="8" t="n">
        <f aca="false">underwriting!D20</f>
        <v>5089.56408812075</v>
      </c>
      <c r="E145" s="8" t="n">
        <f aca="false">C145*underwriting!C15/12</f>
        <v>3698.40363198008</v>
      </c>
      <c r="F145" s="8" t="n">
        <f aca="false">D145-E145</f>
        <v>1391.16045614066</v>
      </c>
      <c r="G145" s="8" t="n">
        <f aca="false">C145-F145</f>
        <v>632620.890740445</v>
      </c>
      <c r="H145" s="8" t="n">
        <f aca="false">H144+F145</f>
        <v>132379.109259555</v>
      </c>
    </row>
    <row r="146" customFormat="false" ht="15" hidden="false" customHeight="false" outlineLevel="0" collapsed="false">
      <c r="B146" s="40" t="n">
        <v>139</v>
      </c>
      <c r="C146" s="8" t="n">
        <f aca="false">G145</f>
        <v>632620.890740445</v>
      </c>
      <c r="D146" s="8" t="n">
        <f aca="false">underwriting!D20</f>
        <v>5089.56408812075</v>
      </c>
      <c r="E146" s="8" t="n">
        <f aca="false">C146*underwriting!C15/12</f>
        <v>3690.28852931926</v>
      </c>
      <c r="F146" s="8" t="n">
        <f aca="false">D146-E146</f>
        <v>1399.27555880148</v>
      </c>
      <c r="G146" s="8" t="n">
        <f aca="false">C146-F146</f>
        <v>631221.615181644</v>
      </c>
      <c r="H146" s="8" t="n">
        <f aca="false">H145+F146</f>
        <v>133778.384818356</v>
      </c>
    </row>
    <row r="147" customFormat="false" ht="15" hidden="false" customHeight="false" outlineLevel="0" collapsed="false">
      <c r="B147" s="40" t="n">
        <v>140</v>
      </c>
      <c r="C147" s="8" t="n">
        <f aca="false">G146</f>
        <v>631221.615181644</v>
      </c>
      <c r="D147" s="8" t="n">
        <f aca="false">underwriting!D20</f>
        <v>5089.56408812075</v>
      </c>
      <c r="E147" s="8" t="n">
        <f aca="false">C147*underwriting!C15/12</f>
        <v>3682.12608855959</v>
      </c>
      <c r="F147" s="8" t="n">
        <f aca="false">D147-E147</f>
        <v>1407.43799956116</v>
      </c>
      <c r="G147" s="8" t="n">
        <f aca="false">C147-F147</f>
        <v>629814.177182082</v>
      </c>
      <c r="H147" s="8" t="n">
        <f aca="false">H146+F147</f>
        <v>135185.822817917</v>
      </c>
    </row>
    <row r="148" customFormat="false" ht="15" hidden="false" customHeight="false" outlineLevel="0" collapsed="false">
      <c r="B148" s="40" t="n">
        <v>141</v>
      </c>
      <c r="C148" s="8" t="n">
        <f aca="false">G147</f>
        <v>629814.177182082</v>
      </c>
      <c r="D148" s="8" t="n">
        <f aca="false">underwriting!D20</f>
        <v>5089.56408812075</v>
      </c>
      <c r="E148" s="8" t="n">
        <f aca="false">C148*underwriting!C15/12</f>
        <v>3673.91603356215</v>
      </c>
      <c r="F148" s="8" t="n">
        <f aca="false">D148-E148</f>
        <v>1415.6480545586</v>
      </c>
      <c r="G148" s="8" t="n">
        <f aca="false">C148-F148</f>
        <v>628398.529127524</v>
      </c>
      <c r="H148" s="8" t="n">
        <f aca="false">H147+F148</f>
        <v>136601.470872476</v>
      </c>
    </row>
    <row r="149" customFormat="false" ht="15" hidden="false" customHeight="false" outlineLevel="0" collapsed="false">
      <c r="B149" s="40" t="n">
        <v>142</v>
      </c>
      <c r="C149" s="8" t="n">
        <f aca="false">G148</f>
        <v>628398.529127524</v>
      </c>
      <c r="D149" s="8" t="n">
        <f aca="false">underwriting!D20</f>
        <v>5089.56408812075</v>
      </c>
      <c r="E149" s="8" t="n">
        <f aca="false">C149*underwriting!C15/12</f>
        <v>3665.65808657722</v>
      </c>
      <c r="F149" s="8" t="n">
        <f aca="false">D149-E149</f>
        <v>1423.90600154352</v>
      </c>
      <c r="G149" s="8" t="n">
        <f aca="false">C149-F149</f>
        <v>626974.62312598</v>
      </c>
      <c r="H149" s="8" t="n">
        <f aca="false">H148+F149</f>
        <v>138025.37687402</v>
      </c>
    </row>
    <row r="150" customFormat="false" ht="15" hidden="false" customHeight="false" outlineLevel="0" collapsed="false">
      <c r="B150" s="40" t="n">
        <v>143</v>
      </c>
      <c r="C150" s="8" t="n">
        <f aca="false">G149</f>
        <v>626974.62312598</v>
      </c>
      <c r="D150" s="8" t="n">
        <f aca="false">underwriting!D20</f>
        <v>5089.56408812075</v>
      </c>
      <c r="E150" s="8" t="n">
        <f aca="false">C150*underwriting!C15/12</f>
        <v>3657.35196823489</v>
      </c>
      <c r="F150" s="8" t="n">
        <f aca="false">D150-E150</f>
        <v>1432.21211988586</v>
      </c>
      <c r="G150" s="8" t="n">
        <f aca="false">C150-F150</f>
        <v>625542.411006094</v>
      </c>
      <c r="H150" s="8" t="n">
        <f aca="false">H149+F150</f>
        <v>139457.588993905</v>
      </c>
    </row>
    <row r="151" customFormat="false" ht="15" hidden="false" customHeight="false" outlineLevel="0" collapsed="false">
      <c r="B151" s="40" t="n">
        <v>144</v>
      </c>
      <c r="C151" s="8" t="n">
        <f aca="false">G150</f>
        <v>625542.411006094</v>
      </c>
      <c r="D151" s="8" t="n">
        <f aca="false">underwriting!D20</f>
        <v>5089.56408812075</v>
      </c>
      <c r="E151" s="8" t="n">
        <f aca="false">C151*underwriting!C15/12</f>
        <v>3648.99739753555</v>
      </c>
      <c r="F151" s="8" t="n">
        <f aca="false">D151-E151</f>
        <v>1440.56669058519</v>
      </c>
      <c r="G151" s="8" t="n">
        <f aca="false">C151-F151</f>
        <v>624101.844315509</v>
      </c>
      <c r="H151" s="8" t="n">
        <f aca="false">H150+F151</f>
        <v>140898.155684491</v>
      </c>
    </row>
    <row r="152" customFormat="false" ht="15" hidden="false" customHeight="false" outlineLevel="0" collapsed="false">
      <c r="B152" s="40" t="n">
        <v>145</v>
      </c>
      <c r="C152" s="8" t="n">
        <f aca="false">G151</f>
        <v>624101.844315509</v>
      </c>
      <c r="D152" s="8" t="n">
        <f aca="false">underwriting!D20</f>
        <v>5089.56408812075</v>
      </c>
      <c r="E152" s="8" t="n">
        <f aca="false">C152*underwriting!C15/12</f>
        <v>3640.59409184047</v>
      </c>
      <c r="F152" s="8" t="n">
        <f aca="false">D152-E152</f>
        <v>1448.96999628027</v>
      </c>
      <c r="G152" s="8" t="n">
        <f aca="false">C152-F152</f>
        <v>622652.874319229</v>
      </c>
      <c r="H152" s="8" t="n">
        <f aca="false">H151+F152</f>
        <v>142347.125680771</v>
      </c>
    </row>
    <row r="153" customFormat="false" ht="15" hidden="false" customHeight="false" outlineLevel="0" collapsed="false">
      <c r="B153" s="40" t="n">
        <v>146</v>
      </c>
      <c r="C153" s="8" t="n">
        <f aca="false">G152</f>
        <v>622652.874319229</v>
      </c>
      <c r="D153" s="8" t="n">
        <f aca="false">underwriting!D20</f>
        <v>5089.56408812075</v>
      </c>
      <c r="E153" s="8" t="n">
        <f aca="false">C153*underwriting!C15/12</f>
        <v>3632.14176686217</v>
      </c>
      <c r="F153" s="8" t="n">
        <f aca="false">D153-E153</f>
        <v>1457.42232125858</v>
      </c>
      <c r="G153" s="8" t="n">
        <f aca="false">C153-F153</f>
        <v>621195.45199797</v>
      </c>
      <c r="H153" s="8" t="n">
        <f aca="false">H152+F153</f>
        <v>143804.54800203</v>
      </c>
    </row>
    <row r="154" customFormat="false" ht="15" hidden="false" customHeight="false" outlineLevel="0" collapsed="false">
      <c r="B154" s="40" t="n">
        <v>147</v>
      </c>
      <c r="C154" s="8" t="n">
        <f aca="false">G153</f>
        <v>621195.45199797</v>
      </c>
      <c r="D154" s="8" t="n">
        <f aca="false">underwriting!D20</f>
        <v>5089.56408812075</v>
      </c>
      <c r="E154" s="8" t="n">
        <f aca="false">C154*underwriting!C15/12</f>
        <v>3623.64013665483</v>
      </c>
      <c r="F154" s="8" t="n">
        <f aca="false">D154-E154</f>
        <v>1465.92395146592</v>
      </c>
      <c r="G154" s="8" t="n">
        <f aca="false">C154-F154</f>
        <v>619729.528046505</v>
      </c>
      <c r="H154" s="8" t="n">
        <f aca="false">H153+F154</f>
        <v>145270.471953495</v>
      </c>
    </row>
    <row r="155" customFormat="false" ht="15" hidden="false" customHeight="false" outlineLevel="0" collapsed="false">
      <c r="B155" s="40" t="n">
        <v>148</v>
      </c>
      <c r="C155" s="8" t="n">
        <f aca="false">G154</f>
        <v>619729.528046505</v>
      </c>
      <c r="D155" s="8" t="n">
        <f aca="false">underwriting!D20</f>
        <v>5089.56408812075</v>
      </c>
      <c r="E155" s="8" t="n">
        <f aca="false">C155*underwriting!C15/12</f>
        <v>3615.08891360461</v>
      </c>
      <c r="F155" s="8" t="n">
        <f aca="false">D155-E155</f>
        <v>1474.47517451613</v>
      </c>
      <c r="G155" s="8" t="n">
        <f aca="false">C155-F155</f>
        <v>618255.052871988</v>
      </c>
      <c r="H155" s="8" t="n">
        <f aca="false">H154+F155</f>
        <v>146744.947128012</v>
      </c>
    </row>
    <row r="156" customFormat="false" ht="15" hidden="false" customHeight="false" outlineLevel="0" collapsed="false">
      <c r="B156" s="40" t="n">
        <v>149</v>
      </c>
      <c r="C156" s="8" t="n">
        <f aca="false">G155</f>
        <v>618255.052871988</v>
      </c>
      <c r="D156" s="8" t="n">
        <f aca="false">underwriting!D20</f>
        <v>5089.56408812075</v>
      </c>
      <c r="E156" s="8" t="n">
        <f aca="false">C156*underwriting!C15/12</f>
        <v>3606.48780841993</v>
      </c>
      <c r="F156" s="8" t="n">
        <f aca="false">D156-E156</f>
        <v>1483.07627970081</v>
      </c>
      <c r="G156" s="8" t="n">
        <f aca="false">C156-F156</f>
        <v>616771.976592288</v>
      </c>
      <c r="H156" s="8" t="n">
        <f aca="false">H155+F156</f>
        <v>148228.023407712</v>
      </c>
    </row>
    <row r="157" customFormat="false" ht="15" hidden="false" customHeight="false" outlineLevel="0" collapsed="false">
      <c r="B157" s="40" t="n">
        <v>150</v>
      </c>
      <c r="C157" s="8" t="n">
        <f aca="false">G156</f>
        <v>616771.976592288</v>
      </c>
      <c r="D157" s="8" t="n">
        <f aca="false">underwriting!D20</f>
        <v>5089.56408812075</v>
      </c>
      <c r="E157" s="8" t="n">
        <f aca="false">C157*underwriting!C15/12</f>
        <v>3597.83653012168</v>
      </c>
      <c r="F157" s="8" t="n">
        <f aca="false">D157-E157</f>
        <v>1491.72755799907</v>
      </c>
      <c r="G157" s="8" t="n">
        <f aca="false">C157-F157</f>
        <v>615280.249034289</v>
      </c>
      <c r="H157" s="8" t="n">
        <f aca="false">H156+F157</f>
        <v>149719.750965711</v>
      </c>
    </row>
    <row r="158" customFormat="false" ht="15" hidden="false" customHeight="false" outlineLevel="0" collapsed="false">
      <c r="B158" s="40" t="n">
        <v>151</v>
      </c>
      <c r="C158" s="8" t="n">
        <f aca="false">G157</f>
        <v>615280.249034289</v>
      </c>
      <c r="D158" s="8" t="n">
        <f aca="false">underwriting!D20</f>
        <v>5089.56408812075</v>
      </c>
      <c r="E158" s="8" t="n">
        <f aca="false">C158*underwriting!C15/12</f>
        <v>3589.13478603335</v>
      </c>
      <c r="F158" s="8" t="n">
        <f aca="false">D158-E158</f>
        <v>1500.42930208739</v>
      </c>
      <c r="G158" s="8" t="n">
        <f aca="false">C158-F158</f>
        <v>613779.819732201</v>
      </c>
      <c r="H158" s="8" t="n">
        <f aca="false">H157+F158</f>
        <v>151220.180267799</v>
      </c>
    </row>
    <row r="159" customFormat="false" ht="15" hidden="false" customHeight="false" outlineLevel="0" collapsed="false">
      <c r="B159" s="40" t="n">
        <v>152</v>
      </c>
      <c r="C159" s="8" t="n">
        <f aca="false">G158</f>
        <v>613779.819732201</v>
      </c>
      <c r="D159" s="8" t="n">
        <f aca="false">underwriting!D20</f>
        <v>5089.56408812075</v>
      </c>
      <c r="E159" s="8" t="n">
        <f aca="false">C159*underwriting!C15/12</f>
        <v>3580.38228177117</v>
      </c>
      <c r="F159" s="8" t="n">
        <f aca="false">D159-E159</f>
        <v>1509.18180634957</v>
      </c>
      <c r="G159" s="8" t="n">
        <f aca="false">C159-F159</f>
        <v>612270.637925852</v>
      </c>
      <c r="H159" s="8" t="n">
        <f aca="false">H158+F159</f>
        <v>152729.362074148</v>
      </c>
    </row>
    <row r="160" customFormat="false" ht="15" hidden="false" customHeight="false" outlineLevel="0" collapsed="false">
      <c r="B160" s="40" t="n">
        <v>153</v>
      </c>
      <c r="C160" s="8" t="n">
        <f aca="false">G159</f>
        <v>612270.637925852</v>
      </c>
      <c r="D160" s="8" t="n">
        <f aca="false">underwriting!D20</f>
        <v>5089.56408812075</v>
      </c>
      <c r="E160" s="8" t="n">
        <f aca="false">C160*underwriting!C15/12</f>
        <v>3571.57872123413</v>
      </c>
      <c r="F160" s="8" t="n">
        <f aca="false">D160-E160</f>
        <v>1517.98536688661</v>
      </c>
      <c r="G160" s="8" t="n">
        <f aca="false">C160-F160</f>
        <v>610752.652558965</v>
      </c>
      <c r="H160" s="8" t="n">
        <f aca="false">H159+F160</f>
        <v>154247.347441035</v>
      </c>
    </row>
    <row r="161" customFormat="false" ht="15" hidden="false" customHeight="false" outlineLevel="0" collapsed="false">
      <c r="B161" s="40" t="n">
        <v>154</v>
      </c>
      <c r="C161" s="8" t="n">
        <f aca="false">G160</f>
        <v>610752.652558965</v>
      </c>
      <c r="D161" s="8" t="n">
        <f aca="false">underwriting!D20</f>
        <v>5089.56408812075</v>
      </c>
      <c r="E161" s="8" t="n">
        <f aca="false">C161*underwriting!C15/12</f>
        <v>3562.72380659396</v>
      </c>
      <c r="F161" s="8" t="n">
        <f aca="false">D161-E161</f>
        <v>1526.84028152678</v>
      </c>
      <c r="G161" s="8" t="n">
        <f aca="false">C161-F161</f>
        <v>609225.812277438</v>
      </c>
      <c r="H161" s="8" t="n">
        <f aca="false">H160+F161</f>
        <v>155774.187722562</v>
      </c>
    </row>
    <row r="162" customFormat="false" ht="15" hidden="false" customHeight="false" outlineLevel="0" collapsed="false">
      <c r="B162" s="40" t="n">
        <v>155</v>
      </c>
      <c r="C162" s="8" t="n">
        <f aca="false">G161</f>
        <v>609225.812277438</v>
      </c>
      <c r="D162" s="8" t="n">
        <f aca="false">underwriting!D20</f>
        <v>5089.56408812075</v>
      </c>
      <c r="E162" s="8" t="n">
        <f aca="false">C162*underwriting!C15/12</f>
        <v>3553.81723828506</v>
      </c>
      <c r="F162" s="8" t="n">
        <f aca="false">D162-E162</f>
        <v>1535.74684983569</v>
      </c>
      <c r="G162" s="8" t="n">
        <f aca="false">C162-F162</f>
        <v>607690.065427602</v>
      </c>
      <c r="H162" s="8" t="n">
        <f aca="false">H161+F162</f>
        <v>157309.934572398</v>
      </c>
    </row>
    <row r="163" customFormat="false" ht="15" hidden="false" customHeight="false" outlineLevel="0" collapsed="false">
      <c r="B163" s="40" t="n">
        <v>156</v>
      </c>
      <c r="C163" s="8" t="n">
        <f aca="false">G162</f>
        <v>607690.065427602</v>
      </c>
      <c r="D163" s="8" t="n">
        <f aca="false">underwriting!D20</f>
        <v>5089.56408812075</v>
      </c>
      <c r="E163" s="8" t="n">
        <f aca="false">C163*underwriting!C15/12</f>
        <v>3544.85871499435</v>
      </c>
      <c r="F163" s="8" t="n">
        <f aca="false">D163-E163</f>
        <v>1544.7053731264</v>
      </c>
      <c r="G163" s="8" t="n">
        <f aca="false">C163-F163</f>
        <v>606145.360054476</v>
      </c>
      <c r="H163" s="8" t="n">
        <f aca="false">H162+F163</f>
        <v>158854.639945524</v>
      </c>
    </row>
    <row r="164" customFormat="false" ht="15" hidden="false" customHeight="false" outlineLevel="0" collapsed="false">
      <c r="B164" s="40" t="n">
        <v>157</v>
      </c>
      <c r="C164" s="8" t="n">
        <f aca="false">G163</f>
        <v>606145.360054476</v>
      </c>
      <c r="D164" s="8" t="n">
        <f aca="false">underwriting!D20</f>
        <v>5089.56408812075</v>
      </c>
      <c r="E164" s="8" t="n">
        <f aca="false">C164*underwriting!C15/12</f>
        <v>3535.84793365111</v>
      </c>
      <c r="F164" s="8" t="n">
        <f aca="false">D164-E164</f>
        <v>1553.71615446963</v>
      </c>
      <c r="G164" s="8" t="n">
        <f aca="false">C164-F164</f>
        <v>604591.643900006</v>
      </c>
      <c r="H164" s="8" t="n">
        <f aca="false">H163+F164</f>
        <v>160408.356099994</v>
      </c>
    </row>
    <row r="165" customFormat="false" ht="15" hidden="false" customHeight="false" outlineLevel="0" collapsed="false">
      <c r="B165" s="40" t="n">
        <v>158</v>
      </c>
      <c r="C165" s="8" t="n">
        <f aca="false">G164</f>
        <v>604591.643900006</v>
      </c>
      <c r="D165" s="8" t="n">
        <f aca="false">underwriting!D20</f>
        <v>5089.56408812075</v>
      </c>
      <c r="E165" s="8" t="n">
        <f aca="false">C165*underwriting!C15/12</f>
        <v>3526.7845894167</v>
      </c>
      <c r="F165" s="8" t="n">
        <f aca="false">D165-E165</f>
        <v>1562.77949870404</v>
      </c>
      <c r="G165" s="8" t="n">
        <f aca="false">C165-F165</f>
        <v>603028.864401302</v>
      </c>
      <c r="H165" s="8" t="n">
        <f aca="false">H164+F165</f>
        <v>161971.135598698</v>
      </c>
    </row>
    <row r="166" customFormat="false" ht="15" hidden="false" customHeight="false" outlineLevel="0" collapsed="false">
      <c r="B166" s="40" t="n">
        <v>159</v>
      </c>
      <c r="C166" s="8" t="n">
        <f aca="false">G165</f>
        <v>603028.864401302</v>
      </c>
      <c r="D166" s="8" t="n">
        <f aca="false">underwriting!D20</f>
        <v>5089.56408812075</v>
      </c>
      <c r="E166" s="8" t="n">
        <f aca="false">C166*underwriting!C15/12</f>
        <v>3517.66837567426</v>
      </c>
      <c r="F166" s="8" t="n">
        <f aca="false">D166-E166</f>
        <v>1571.89571244648</v>
      </c>
      <c r="G166" s="8" t="n">
        <f aca="false">C166-F166</f>
        <v>601456.968688856</v>
      </c>
      <c r="H166" s="8" t="n">
        <f aca="false">H165+F166</f>
        <v>163543.031311144</v>
      </c>
    </row>
    <row r="167" customFormat="false" ht="15" hidden="false" customHeight="false" outlineLevel="0" collapsed="false">
      <c r="B167" s="40" t="n">
        <v>160</v>
      </c>
      <c r="C167" s="8" t="n">
        <f aca="false">G166</f>
        <v>601456.968688856</v>
      </c>
      <c r="D167" s="8" t="n">
        <f aca="false">underwriting!D20</f>
        <v>5089.56408812075</v>
      </c>
      <c r="E167" s="8" t="n">
        <f aca="false">C167*underwriting!C15/12</f>
        <v>3508.49898401833</v>
      </c>
      <c r="F167" s="8" t="n">
        <f aca="false">D167-E167</f>
        <v>1581.06510410242</v>
      </c>
      <c r="G167" s="8" t="n">
        <f aca="false">C167-F167</f>
        <v>599875.903584753</v>
      </c>
      <c r="H167" s="8" t="n">
        <f aca="false">H166+F167</f>
        <v>165124.096415247</v>
      </c>
    </row>
    <row r="168" customFormat="false" ht="15" hidden="false" customHeight="false" outlineLevel="0" collapsed="false">
      <c r="B168" s="40" t="n">
        <v>161</v>
      </c>
      <c r="C168" s="8" t="n">
        <f aca="false">G167</f>
        <v>599875.903584753</v>
      </c>
      <c r="D168" s="8" t="n">
        <f aca="false">underwriting!D20</f>
        <v>5089.56408812075</v>
      </c>
      <c r="E168" s="8" t="n">
        <f aca="false">C168*underwriting!C15/12</f>
        <v>3499.2761042444</v>
      </c>
      <c r="F168" s="8" t="n">
        <f aca="false">D168-E168</f>
        <v>1590.28798387635</v>
      </c>
      <c r="G168" s="8" t="n">
        <f aca="false">C168-F168</f>
        <v>598285.615600877</v>
      </c>
      <c r="H168" s="8" t="n">
        <f aca="false">H167+F168</f>
        <v>166714.384399123</v>
      </c>
    </row>
    <row r="169" customFormat="false" ht="15" hidden="false" customHeight="false" outlineLevel="0" collapsed="false">
      <c r="B169" s="40" t="n">
        <v>162</v>
      </c>
      <c r="C169" s="8" t="n">
        <f aca="false">G168</f>
        <v>598285.615600877</v>
      </c>
      <c r="D169" s="8" t="n">
        <f aca="false">underwriting!D20</f>
        <v>5089.56408812075</v>
      </c>
      <c r="E169" s="8" t="n">
        <f aca="false">C169*underwriting!C15/12</f>
        <v>3489.99942433845</v>
      </c>
      <c r="F169" s="8" t="n">
        <f aca="false">D169-E169</f>
        <v>1599.56466378229</v>
      </c>
      <c r="G169" s="8" t="n">
        <f aca="false">C169-F169</f>
        <v>596686.050937095</v>
      </c>
      <c r="H169" s="8" t="n">
        <f aca="false">H168+F169</f>
        <v>168313.949062905</v>
      </c>
    </row>
    <row r="170" customFormat="false" ht="15" hidden="false" customHeight="false" outlineLevel="0" collapsed="false">
      <c r="B170" s="40" t="n">
        <v>163</v>
      </c>
      <c r="C170" s="8" t="n">
        <f aca="false">G169</f>
        <v>596686.050937095</v>
      </c>
      <c r="D170" s="8" t="n">
        <f aca="false">underwriting!D20</f>
        <v>5089.56408812075</v>
      </c>
      <c r="E170" s="8" t="n">
        <f aca="false">C170*underwriting!C15/12</f>
        <v>3480.66863046639</v>
      </c>
      <c r="F170" s="8" t="n">
        <f aca="false">D170-E170</f>
        <v>1608.89545765436</v>
      </c>
      <c r="G170" s="8" t="n">
        <f aca="false">C170-F170</f>
        <v>595077.155479441</v>
      </c>
      <c r="H170" s="8" t="n">
        <f aca="false">H169+F170</f>
        <v>169922.84452056</v>
      </c>
    </row>
    <row r="171" customFormat="false" ht="15" hidden="false" customHeight="false" outlineLevel="0" collapsed="false">
      <c r="B171" s="40" t="n">
        <v>164</v>
      </c>
      <c r="C171" s="8" t="n">
        <f aca="false">G170</f>
        <v>595077.155479441</v>
      </c>
      <c r="D171" s="8" t="n">
        <f aca="false">underwriting!D20</f>
        <v>5089.56408812075</v>
      </c>
      <c r="E171" s="8" t="n">
        <f aca="false">C171*underwriting!C15/12</f>
        <v>3471.2834069634</v>
      </c>
      <c r="F171" s="8" t="n">
        <f aca="false">D171-E171</f>
        <v>1618.28068115734</v>
      </c>
      <c r="G171" s="8" t="n">
        <f aca="false">C171-F171</f>
        <v>593458.874798283</v>
      </c>
      <c r="H171" s="8" t="n">
        <f aca="false">H170+F171</f>
        <v>171541.125201717</v>
      </c>
    </row>
    <row r="172" customFormat="false" ht="15" hidden="false" customHeight="false" outlineLevel="0" collapsed="false">
      <c r="B172" s="40" t="n">
        <v>165</v>
      </c>
      <c r="C172" s="8" t="n">
        <f aca="false">G171</f>
        <v>593458.874798283</v>
      </c>
      <c r="D172" s="8" t="n">
        <f aca="false">underwriting!D20</f>
        <v>5089.56408812075</v>
      </c>
      <c r="E172" s="8" t="n">
        <f aca="false">C172*underwriting!C15/12</f>
        <v>3461.84343632332</v>
      </c>
      <c r="F172" s="8" t="n">
        <f aca="false">D172-E172</f>
        <v>1627.72065179743</v>
      </c>
      <c r="G172" s="8" t="n">
        <f aca="false">C172-F172</f>
        <v>591831.154146486</v>
      </c>
      <c r="H172" s="8" t="n">
        <f aca="false">H171+F172</f>
        <v>173168.845853514</v>
      </c>
    </row>
    <row r="173" customFormat="false" ht="15" hidden="false" customHeight="false" outlineLevel="0" collapsed="false">
      <c r="B173" s="40" t="n">
        <v>166</v>
      </c>
      <c r="C173" s="8" t="n">
        <f aca="false">G172</f>
        <v>591831.154146486</v>
      </c>
      <c r="D173" s="8" t="n">
        <f aca="false">underwriting!D20</f>
        <v>5089.56408812075</v>
      </c>
      <c r="E173" s="8" t="n">
        <f aca="false">C173*underwriting!C15/12</f>
        <v>3452.34839918783</v>
      </c>
      <c r="F173" s="8" t="n">
        <f aca="false">D173-E173</f>
        <v>1637.21568893291</v>
      </c>
      <c r="G173" s="8" t="n">
        <f aca="false">C173-F173</f>
        <v>590193.938457553</v>
      </c>
      <c r="H173" s="8" t="n">
        <f aca="false">H172+F173</f>
        <v>174806.061542447</v>
      </c>
    </row>
    <row r="174" customFormat="false" ht="15" hidden="false" customHeight="false" outlineLevel="0" collapsed="false">
      <c r="B174" s="40" t="n">
        <v>167</v>
      </c>
      <c r="C174" s="8" t="n">
        <f aca="false">G173</f>
        <v>590193.938457553</v>
      </c>
      <c r="D174" s="8" t="n">
        <f aca="false">underwriting!D20</f>
        <v>5089.56408812075</v>
      </c>
      <c r="E174" s="8" t="n">
        <f aca="false">C174*underwriting!C15/12</f>
        <v>3442.79797433573</v>
      </c>
      <c r="F174" s="8" t="n">
        <f aca="false">D174-E174</f>
        <v>1646.76611378502</v>
      </c>
      <c r="G174" s="8" t="n">
        <f aca="false">C174-F174</f>
        <v>588547.172343768</v>
      </c>
      <c r="H174" s="8" t="n">
        <f aca="false">H173+F174</f>
        <v>176452.827656232</v>
      </c>
    </row>
    <row r="175" customFormat="false" ht="15" hidden="false" customHeight="false" outlineLevel="0" collapsed="false">
      <c r="B175" s="40" t="n">
        <v>168</v>
      </c>
      <c r="C175" s="8" t="n">
        <f aca="false">G174</f>
        <v>588547.172343768</v>
      </c>
      <c r="D175" s="8" t="n">
        <f aca="false">underwriting!D20</f>
        <v>5089.56408812075</v>
      </c>
      <c r="E175" s="8" t="n">
        <f aca="false">C175*underwriting!C15/12</f>
        <v>3433.19183867198</v>
      </c>
      <c r="F175" s="8" t="n">
        <f aca="false">D175-E175</f>
        <v>1656.37224944877</v>
      </c>
      <c r="G175" s="8" t="n">
        <f aca="false">C175-F175</f>
        <v>586890.800094319</v>
      </c>
      <c r="H175" s="8" t="n">
        <f aca="false">H174+F175</f>
        <v>178109.199905681</v>
      </c>
    </row>
    <row r="176" customFormat="false" ht="15" hidden="false" customHeight="false" outlineLevel="0" collapsed="false">
      <c r="B176" s="40" t="n">
        <v>169</v>
      </c>
      <c r="C176" s="8" t="n">
        <f aca="false">G175</f>
        <v>586890.800094319</v>
      </c>
      <c r="D176" s="8" t="n">
        <f aca="false">underwriting!D20</f>
        <v>5089.56408812075</v>
      </c>
      <c r="E176" s="8" t="n">
        <f aca="false">C176*underwriting!C15/12</f>
        <v>3423.52966721686</v>
      </c>
      <c r="F176" s="8" t="n">
        <f aca="false">D176-E176</f>
        <v>1666.03442090388</v>
      </c>
      <c r="G176" s="8" t="n">
        <f aca="false">C176-F176</f>
        <v>585224.765673415</v>
      </c>
      <c r="H176" s="8" t="n">
        <f aca="false">H175+F176</f>
        <v>179775.234326585</v>
      </c>
    </row>
    <row r="177" customFormat="false" ht="15" hidden="false" customHeight="false" outlineLevel="0" collapsed="false">
      <c r="B177" s="40" t="n">
        <v>170</v>
      </c>
      <c r="C177" s="8" t="n">
        <f aca="false">G176</f>
        <v>585224.765673415</v>
      </c>
      <c r="D177" s="8" t="n">
        <f aca="false">underwriting!D20</f>
        <v>5089.56408812075</v>
      </c>
      <c r="E177" s="8" t="n">
        <f aca="false">C177*underwriting!C15/12</f>
        <v>3413.81113309492</v>
      </c>
      <c r="F177" s="8" t="n">
        <f aca="false">D177-E177</f>
        <v>1675.75295502582</v>
      </c>
      <c r="G177" s="8" t="n">
        <f aca="false">C177-F177</f>
        <v>583549.012718389</v>
      </c>
      <c r="H177" s="8" t="n">
        <f aca="false">H176+F177</f>
        <v>181450.987281611</v>
      </c>
    </row>
    <row r="178" customFormat="false" ht="15" hidden="false" customHeight="false" outlineLevel="0" collapsed="false">
      <c r="B178" s="40" t="n">
        <v>171</v>
      </c>
      <c r="C178" s="8" t="n">
        <f aca="false">G177</f>
        <v>583549.012718389</v>
      </c>
      <c r="D178" s="8" t="n">
        <f aca="false">underwriting!D20</f>
        <v>5089.56408812075</v>
      </c>
      <c r="E178" s="8" t="n">
        <f aca="false">C178*underwriting!C15/12</f>
        <v>3404.03590752394</v>
      </c>
      <c r="F178" s="8" t="n">
        <f aca="false">D178-E178</f>
        <v>1685.52818059681</v>
      </c>
      <c r="G178" s="8" t="n">
        <f aca="false">C178-F178</f>
        <v>581863.484537793</v>
      </c>
      <c r="H178" s="8" t="n">
        <f aca="false">H177+F178</f>
        <v>183136.515462207</v>
      </c>
    </row>
    <row r="179" customFormat="false" ht="15" hidden="false" customHeight="false" outlineLevel="0" collapsed="false">
      <c r="B179" s="40" t="n">
        <v>172</v>
      </c>
      <c r="C179" s="8" t="n">
        <f aca="false">G178</f>
        <v>581863.484537793</v>
      </c>
      <c r="D179" s="8" t="n">
        <f aca="false">underwriting!D20</f>
        <v>5089.56408812075</v>
      </c>
      <c r="E179" s="8" t="n">
        <f aca="false">C179*underwriting!C15/12</f>
        <v>3394.20365980379</v>
      </c>
      <c r="F179" s="8" t="n">
        <f aca="false">D179-E179</f>
        <v>1695.36042831695</v>
      </c>
      <c r="G179" s="8" t="n">
        <f aca="false">C179-F179</f>
        <v>580168.124109476</v>
      </c>
      <c r="H179" s="8" t="n">
        <f aca="false">H178+F179</f>
        <v>184831.875890524</v>
      </c>
    </row>
    <row r="180" customFormat="false" ht="15" hidden="false" customHeight="false" outlineLevel="0" collapsed="false">
      <c r="B180" s="40" t="n">
        <v>173</v>
      </c>
      <c r="C180" s="8" t="n">
        <f aca="false">G179</f>
        <v>580168.124109476</v>
      </c>
      <c r="D180" s="8" t="n">
        <f aca="false">underwriting!D20</f>
        <v>5089.56408812075</v>
      </c>
      <c r="E180" s="8" t="n">
        <f aca="false">C180*underwriting!C15/12</f>
        <v>3384.31405730527</v>
      </c>
      <c r="F180" s="8" t="n">
        <f aca="false">D180-E180</f>
        <v>1705.25003081547</v>
      </c>
      <c r="G180" s="8" t="n">
        <f aca="false">C180-F180</f>
        <v>578462.87407866</v>
      </c>
      <c r="H180" s="8" t="n">
        <f aca="false">H179+F180</f>
        <v>186537.12592134</v>
      </c>
    </row>
    <row r="181" customFormat="false" ht="15" hidden="false" customHeight="false" outlineLevel="0" collapsed="false">
      <c r="B181" s="40" t="n">
        <v>174</v>
      </c>
      <c r="C181" s="8" t="n">
        <f aca="false">G180</f>
        <v>578462.87407866</v>
      </c>
      <c r="D181" s="8" t="n">
        <f aca="false">underwriting!D20</f>
        <v>5089.56408812075</v>
      </c>
      <c r="E181" s="8" t="n">
        <f aca="false">C181*underwriting!C15/12</f>
        <v>3374.36676545885</v>
      </c>
      <c r="F181" s="8" t="n">
        <f aca="false">D181-E181</f>
        <v>1715.19732266189</v>
      </c>
      <c r="G181" s="8" t="n">
        <f aca="false">C181-F181</f>
        <v>576747.676755998</v>
      </c>
      <c r="H181" s="8" t="n">
        <f aca="false">H180+F181</f>
        <v>188252.323244002</v>
      </c>
    </row>
    <row r="182" customFormat="false" ht="15" hidden="false" customHeight="false" outlineLevel="0" collapsed="false">
      <c r="B182" s="40" t="n">
        <v>175</v>
      </c>
      <c r="C182" s="8" t="n">
        <f aca="false">G181</f>
        <v>576747.676755998</v>
      </c>
      <c r="D182" s="8" t="n">
        <f aca="false">underwriting!D20</f>
        <v>5089.56408812075</v>
      </c>
      <c r="E182" s="8" t="n">
        <f aca="false">C182*underwriting!C15/12</f>
        <v>3364.36144774332</v>
      </c>
      <c r="F182" s="8" t="n">
        <f aca="false">D182-E182</f>
        <v>1725.20264037742</v>
      </c>
      <c r="G182" s="8" t="n">
        <f aca="false">C182-F182</f>
        <v>575022.474115621</v>
      </c>
      <c r="H182" s="8" t="n">
        <f aca="false">H181+F182</f>
        <v>189977.525884379</v>
      </c>
    </row>
    <row r="183" customFormat="false" ht="15" hidden="false" customHeight="false" outlineLevel="0" collapsed="false">
      <c r="B183" s="40" t="n">
        <v>176</v>
      </c>
      <c r="C183" s="8" t="n">
        <f aca="false">G182</f>
        <v>575022.474115621</v>
      </c>
      <c r="D183" s="8" t="n">
        <f aca="false">underwriting!D20</f>
        <v>5089.56408812075</v>
      </c>
      <c r="E183" s="8" t="n">
        <f aca="false">C183*underwriting!C15/12</f>
        <v>3354.29776567445</v>
      </c>
      <c r="F183" s="8" t="n">
        <f aca="false">D183-E183</f>
        <v>1735.26632244629</v>
      </c>
      <c r="G183" s="8" t="n">
        <f aca="false">C183-F183</f>
        <v>573287.207793174</v>
      </c>
      <c r="H183" s="8" t="n">
        <f aca="false">H182+F183</f>
        <v>191712.792206826</v>
      </c>
    </row>
    <row r="184" customFormat="false" ht="15" hidden="false" customHeight="false" outlineLevel="0" collapsed="false">
      <c r="B184" s="40" t="n">
        <v>177</v>
      </c>
      <c r="C184" s="8" t="n">
        <f aca="false">G183</f>
        <v>573287.207793174</v>
      </c>
      <c r="D184" s="8" t="n">
        <f aca="false">underwriting!D20</f>
        <v>5089.56408812075</v>
      </c>
      <c r="E184" s="8" t="n">
        <f aca="false">C184*underwriting!C15/12</f>
        <v>3344.17537879352</v>
      </c>
      <c r="F184" s="8" t="n">
        <f aca="false">D184-E184</f>
        <v>1745.38870932723</v>
      </c>
      <c r="G184" s="8" t="n">
        <f aca="false">C184-F184</f>
        <v>571541.819083847</v>
      </c>
      <c r="H184" s="8" t="n">
        <f aca="false">H183+F184</f>
        <v>193458.180916153</v>
      </c>
    </row>
    <row r="185" customFormat="false" ht="15" hidden="false" customHeight="false" outlineLevel="0" collapsed="false">
      <c r="B185" s="40" t="n">
        <v>178</v>
      </c>
      <c r="C185" s="8" t="n">
        <f aca="false">G184</f>
        <v>571541.819083847</v>
      </c>
      <c r="D185" s="8" t="n">
        <f aca="false">underwriting!D20</f>
        <v>5089.56408812075</v>
      </c>
      <c r="E185" s="8" t="n">
        <f aca="false">C185*underwriting!C15/12</f>
        <v>3333.99394465578</v>
      </c>
      <c r="F185" s="8" t="n">
        <f aca="false">D185-E185</f>
        <v>1755.57014346497</v>
      </c>
      <c r="G185" s="8" t="n">
        <f aca="false">C185-F185</f>
        <v>569786.248940382</v>
      </c>
      <c r="H185" s="8" t="n">
        <f aca="false">H184+F185</f>
        <v>195213.751059618</v>
      </c>
    </row>
    <row r="186" customFormat="false" ht="15" hidden="false" customHeight="false" outlineLevel="0" collapsed="false">
      <c r="B186" s="40" t="n">
        <v>179</v>
      </c>
      <c r="C186" s="8" t="n">
        <f aca="false">G185</f>
        <v>569786.248940382</v>
      </c>
      <c r="D186" s="8" t="n">
        <f aca="false">underwriting!D20</f>
        <v>5089.56408812075</v>
      </c>
      <c r="E186" s="8" t="n">
        <f aca="false">C186*underwriting!C15/12</f>
        <v>3323.7531188189</v>
      </c>
      <c r="F186" s="8" t="n">
        <f aca="false">D186-E186</f>
        <v>1765.81096930185</v>
      </c>
      <c r="G186" s="8" t="n">
        <f aca="false">C186-F186</f>
        <v>568020.43797108</v>
      </c>
      <c r="H186" s="8" t="n">
        <f aca="false">H185+F186</f>
        <v>196979.56202892</v>
      </c>
    </row>
    <row r="187" customFormat="false" ht="15" hidden="false" customHeight="false" outlineLevel="0" collapsed="false">
      <c r="B187" s="40" t="n">
        <v>180</v>
      </c>
      <c r="C187" s="8" t="n">
        <f aca="false">G186</f>
        <v>568020.43797108</v>
      </c>
      <c r="D187" s="8" t="n">
        <f aca="false">underwriting!D20</f>
        <v>5089.56408812075</v>
      </c>
      <c r="E187" s="8" t="n">
        <f aca="false">C187*underwriting!C15/12</f>
        <v>3313.4525548313</v>
      </c>
      <c r="F187" s="8" t="n">
        <f aca="false">D187-E187</f>
        <v>1776.11153328944</v>
      </c>
      <c r="G187" s="8" t="n">
        <f aca="false">C187-F187</f>
        <v>566244.326437791</v>
      </c>
      <c r="H187" s="8" t="n">
        <f aca="false">H186+F187</f>
        <v>198755.673562209</v>
      </c>
    </row>
    <row r="188" customFormat="false" ht="15" hidden="false" customHeight="false" outlineLevel="0" collapsed="false">
      <c r="B188" s="40" t="n">
        <v>181</v>
      </c>
      <c r="C188" s="8" t="n">
        <f aca="false">G187</f>
        <v>566244.326437791</v>
      </c>
      <c r="D188" s="8" t="n">
        <f aca="false">underwriting!D20</f>
        <v>5089.56408812075</v>
      </c>
      <c r="E188" s="8" t="n">
        <f aca="false">C188*underwriting!C15/12</f>
        <v>3303.09190422045</v>
      </c>
      <c r="F188" s="8" t="n">
        <f aca="false">D188-E188</f>
        <v>1786.4721839003</v>
      </c>
      <c r="G188" s="8" t="n">
        <f aca="false">C188-F188</f>
        <v>564457.854253891</v>
      </c>
      <c r="H188" s="8" t="n">
        <f aca="false">H187+F188</f>
        <v>200542.145746109</v>
      </c>
    </row>
    <row r="189" customFormat="false" ht="15" hidden="false" customHeight="false" outlineLevel="0" collapsed="false">
      <c r="B189" s="40" t="n">
        <v>182</v>
      </c>
      <c r="C189" s="8" t="n">
        <f aca="false">G188</f>
        <v>564457.854253891</v>
      </c>
      <c r="D189" s="8" t="n">
        <f aca="false">underwriting!D20</f>
        <v>5089.56408812075</v>
      </c>
      <c r="E189" s="8" t="n">
        <f aca="false">C189*underwriting!C15/12</f>
        <v>3292.67081648103</v>
      </c>
      <c r="F189" s="8" t="n">
        <f aca="false">D189-E189</f>
        <v>1796.89327163972</v>
      </c>
      <c r="G189" s="8" t="n">
        <f aca="false">C189-F189</f>
        <v>562660.960982251</v>
      </c>
      <c r="H189" s="8" t="n">
        <f aca="false">H188+F189</f>
        <v>202339.039017749</v>
      </c>
    </row>
    <row r="190" customFormat="false" ht="15" hidden="false" customHeight="false" outlineLevel="0" collapsed="false">
      <c r="B190" s="40" t="n">
        <v>183</v>
      </c>
      <c r="C190" s="8" t="n">
        <f aca="false">G189</f>
        <v>562660.960982251</v>
      </c>
      <c r="D190" s="8" t="n">
        <f aca="false">underwriting!D20</f>
        <v>5089.56408812075</v>
      </c>
      <c r="E190" s="8" t="n">
        <f aca="false">C190*underwriting!C15/12</f>
        <v>3282.18893906313</v>
      </c>
      <c r="F190" s="8" t="n">
        <f aca="false">D190-E190</f>
        <v>1807.37514905761</v>
      </c>
      <c r="G190" s="8" t="n">
        <f aca="false">C190-F190</f>
        <v>560853.585833193</v>
      </c>
      <c r="H190" s="8" t="n">
        <f aca="false">H189+F190</f>
        <v>204146.414166807</v>
      </c>
    </row>
    <row r="191" customFormat="false" ht="15" hidden="false" customHeight="false" outlineLevel="0" collapsed="false">
      <c r="B191" s="40" t="n">
        <v>184</v>
      </c>
      <c r="C191" s="8" t="n">
        <f aca="false">G190</f>
        <v>560853.585833193</v>
      </c>
      <c r="D191" s="8" t="n">
        <f aca="false">underwriting!D20</f>
        <v>5089.56408812075</v>
      </c>
      <c r="E191" s="8" t="n">
        <f aca="false">C191*underwriting!C15/12</f>
        <v>3271.6459173603</v>
      </c>
      <c r="F191" s="8" t="n">
        <f aca="false">D191-E191</f>
        <v>1817.91817076045</v>
      </c>
      <c r="G191" s="8" t="n">
        <f aca="false">C191-F191</f>
        <v>559035.667662433</v>
      </c>
      <c r="H191" s="8" t="n">
        <f aca="false">H190+F191</f>
        <v>205964.332337567</v>
      </c>
    </row>
    <row r="192" customFormat="false" ht="15" hidden="false" customHeight="false" outlineLevel="0" collapsed="false">
      <c r="B192" s="40" t="n">
        <v>185</v>
      </c>
      <c r="C192" s="8" t="n">
        <f aca="false">G191</f>
        <v>559035.667662433</v>
      </c>
      <c r="D192" s="8" t="n">
        <f aca="false">underwriting!D20</f>
        <v>5089.56408812075</v>
      </c>
      <c r="E192" s="8" t="n">
        <f aca="false">C192*underwriting!C15/12</f>
        <v>3261.04139469753</v>
      </c>
      <c r="F192" s="8" t="n">
        <f aca="false">D192-E192</f>
        <v>1828.52269342322</v>
      </c>
      <c r="G192" s="8" t="n">
        <f aca="false">C192-F192</f>
        <v>557207.14496901</v>
      </c>
      <c r="H192" s="8" t="n">
        <f aca="false">H191+F192</f>
        <v>207792.85503099</v>
      </c>
    </row>
    <row r="193" customFormat="false" ht="15" hidden="false" customHeight="false" outlineLevel="0" collapsed="false">
      <c r="B193" s="40" t="n">
        <v>186</v>
      </c>
      <c r="C193" s="8" t="n">
        <f aca="false">G192</f>
        <v>557207.14496901</v>
      </c>
      <c r="D193" s="8" t="n">
        <f aca="false">underwriting!D20</f>
        <v>5089.56408812075</v>
      </c>
      <c r="E193" s="8" t="n">
        <f aca="false">C193*underwriting!C15/12</f>
        <v>3250.37501231922</v>
      </c>
      <c r="F193" s="8" t="n">
        <f aca="false">D193-E193</f>
        <v>1839.18907580152</v>
      </c>
      <c r="G193" s="8" t="n">
        <f aca="false">C193-F193</f>
        <v>555367.955893208</v>
      </c>
      <c r="H193" s="8" t="n">
        <f aca="false">H192+F193</f>
        <v>209632.044106792</v>
      </c>
    </row>
    <row r="194" customFormat="false" ht="15" hidden="false" customHeight="false" outlineLevel="0" collapsed="false">
      <c r="B194" s="40" t="n">
        <v>187</v>
      </c>
      <c r="C194" s="8" t="n">
        <f aca="false">G193</f>
        <v>555367.955893208</v>
      </c>
      <c r="D194" s="8" t="n">
        <f aca="false">underwriting!D20</f>
        <v>5089.56408812075</v>
      </c>
      <c r="E194" s="8" t="n">
        <f aca="false">C194*underwriting!C15/12</f>
        <v>3239.64640937705</v>
      </c>
      <c r="F194" s="8" t="n">
        <f aca="false">D194-E194</f>
        <v>1849.9176787437</v>
      </c>
      <c r="G194" s="8" t="n">
        <f aca="false">C194-F194</f>
        <v>553518.038214464</v>
      </c>
      <c r="H194" s="8" t="n">
        <f aca="false">H193+F194</f>
        <v>211481.961785536</v>
      </c>
    </row>
    <row r="195" customFormat="false" ht="15" hidden="false" customHeight="false" outlineLevel="0" collapsed="false">
      <c r="B195" s="40" t="n">
        <v>188</v>
      </c>
      <c r="C195" s="8" t="n">
        <f aca="false">G194</f>
        <v>553518.038214464</v>
      </c>
      <c r="D195" s="8" t="n">
        <f aca="false">underwriting!D20</f>
        <v>5089.56408812075</v>
      </c>
      <c r="E195" s="8" t="n">
        <f aca="false">C195*underwriting!C15/12</f>
        <v>3228.85522291771</v>
      </c>
      <c r="F195" s="8" t="n">
        <f aca="false">D195-E195</f>
        <v>1860.70886520304</v>
      </c>
      <c r="G195" s="8" t="n">
        <f aca="false">C195-F195</f>
        <v>551657.329349261</v>
      </c>
      <c r="H195" s="8" t="n">
        <f aca="false">H194+F195</f>
        <v>213342.670650739</v>
      </c>
    </row>
    <row r="196" customFormat="false" ht="15" hidden="false" customHeight="false" outlineLevel="0" collapsed="false">
      <c r="B196" s="40" t="n">
        <v>189</v>
      </c>
      <c r="C196" s="8" t="n">
        <f aca="false">G195</f>
        <v>551657.329349261</v>
      </c>
      <c r="D196" s="8" t="n">
        <f aca="false">underwriting!D20</f>
        <v>5089.56408812075</v>
      </c>
      <c r="E196" s="8" t="n">
        <f aca="false">C196*underwriting!C15/12</f>
        <v>3218.00108787069</v>
      </c>
      <c r="F196" s="8" t="n">
        <f aca="false">D196-E196</f>
        <v>1871.56300025005</v>
      </c>
      <c r="G196" s="8" t="n">
        <f aca="false">C196-F196</f>
        <v>549785.766349011</v>
      </c>
      <c r="H196" s="8" t="n">
        <f aca="false">H195+F196</f>
        <v>215214.233650989</v>
      </c>
    </row>
    <row r="197" customFormat="false" ht="15" hidden="false" customHeight="false" outlineLevel="0" collapsed="false">
      <c r="B197" s="40" t="n">
        <v>190</v>
      </c>
      <c r="C197" s="8" t="n">
        <f aca="false">G196</f>
        <v>549785.766349011</v>
      </c>
      <c r="D197" s="8" t="n">
        <f aca="false">underwriting!D20</f>
        <v>5089.56408812075</v>
      </c>
      <c r="E197" s="8" t="n">
        <f aca="false">C197*underwriting!C15/12</f>
        <v>3207.0836370359</v>
      </c>
      <c r="F197" s="8" t="n">
        <f aca="false">D197-E197</f>
        <v>1882.48045108484</v>
      </c>
      <c r="G197" s="8" t="n">
        <f aca="false">C197-F197</f>
        <v>547903.285897927</v>
      </c>
      <c r="H197" s="8" t="n">
        <f aca="false">H196+F197</f>
        <v>217096.714102073</v>
      </c>
    </row>
    <row r="198" customFormat="false" ht="15" hidden="false" customHeight="false" outlineLevel="0" collapsed="false">
      <c r="B198" s="40" t="n">
        <v>191</v>
      </c>
      <c r="C198" s="8" t="n">
        <f aca="false">G197</f>
        <v>547903.285897927</v>
      </c>
      <c r="D198" s="8" t="n">
        <f aca="false">underwriting!D20</f>
        <v>5089.56408812075</v>
      </c>
      <c r="E198" s="8" t="n">
        <f aca="false">C198*underwriting!C15/12</f>
        <v>3196.10250107124</v>
      </c>
      <c r="F198" s="8" t="n">
        <f aca="false">D198-E198</f>
        <v>1893.46158704951</v>
      </c>
      <c r="G198" s="8" t="n">
        <f aca="false">C198-F198</f>
        <v>546009.824310877</v>
      </c>
      <c r="H198" s="8" t="n">
        <f aca="false">H197+F198</f>
        <v>218990.175689123</v>
      </c>
    </row>
    <row r="199" customFormat="false" ht="15" hidden="false" customHeight="false" outlineLevel="0" collapsed="false">
      <c r="B199" s="40" t="n">
        <v>192</v>
      </c>
      <c r="C199" s="8" t="n">
        <f aca="false">G198</f>
        <v>546009.824310877</v>
      </c>
      <c r="D199" s="8" t="n">
        <f aca="false">underwriting!D20</f>
        <v>5089.56408812075</v>
      </c>
      <c r="E199" s="8" t="n">
        <f aca="false">C199*underwriting!C15/12</f>
        <v>3185.05730848012</v>
      </c>
      <c r="F199" s="8" t="n">
        <f aca="false">D199-E199</f>
        <v>1904.50677964063</v>
      </c>
      <c r="G199" s="8" t="n">
        <f aca="false">C199-F199</f>
        <v>544105.317531236</v>
      </c>
      <c r="H199" s="8" t="n">
        <f aca="false">H198+F199</f>
        <v>220894.682468764</v>
      </c>
    </row>
    <row r="200" customFormat="false" ht="15" hidden="false" customHeight="false" outlineLevel="0" collapsed="false">
      <c r="B200" s="40" t="n">
        <v>193</v>
      </c>
      <c r="C200" s="8" t="n">
        <f aca="false">G199</f>
        <v>544105.317531236</v>
      </c>
      <c r="D200" s="8" t="n">
        <f aca="false">underwriting!D20</f>
        <v>5089.56408812075</v>
      </c>
      <c r="E200" s="8" t="n">
        <f aca="false">C200*underwriting!C15/12</f>
        <v>3173.94768559888</v>
      </c>
      <c r="F200" s="8" t="n">
        <f aca="false">D200-E200</f>
        <v>1915.61640252187</v>
      </c>
      <c r="G200" s="8" t="n">
        <f aca="false">C200-F200</f>
        <v>542189.701128715</v>
      </c>
      <c r="H200" s="8" t="n">
        <f aca="false">H199+F200</f>
        <v>222810.298871285</v>
      </c>
    </row>
    <row r="201" customFormat="false" ht="15" hidden="false" customHeight="false" outlineLevel="0" collapsed="false">
      <c r="B201" s="40" t="n">
        <v>194</v>
      </c>
      <c r="C201" s="8" t="n">
        <f aca="false">G200</f>
        <v>542189.701128715</v>
      </c>
      <c r="D201" s="8" t="n">
        <f aca="false">underwriting!D20</f>
        <v>5089.56408812075</v>
      </c>
      <c r="E201" s="8" t="n">
        <f aca="false">C201*underwriting!C15/12</f>
        <v>3162.77325658417</v>
      </c>
      <c r="F201" s="8" t="n">
        <f aca="false">D201-E201</f>
        <v>1926.79083153658</v>
      </c>
      <c r="G201" s="8" t="n">
        <f aca="false">C201-F201</f>
        <v>540262.910297178</v>
      </c>
      <c r="H201" s="8" t="n">
        <f aca="false">H200+F201</f>
        <v>224737.089702822</v>
      </c>
    </row>
    <row r="202" customFormat="false" ht="15" hidden="false" customHeight="false" outlineLevel="0" collapsed="false">
      <c r="B202" s="40" t="n">
        <v>195</v>
      </c>
      <c r="C202" s="8" t="n">
        <f aca="false">G201</f>
        <v>540262.910297178</v>
      </c>
      <c r="D202" s="8" t="n">
        <f aca="false">underwriting!D20</f>
        <v>5089.56408812075</v>
      </c>
      <c r="E202" s="8" t="n">
        <f aca="false">C202*underwriting!C15/12</f>
        <v>3151.53364340021</v>
      </c>
      <c r="F202" s="8" t="n">
        <f aca="false">D202-E202</f>
        <v>1938.03044472054</v>
      </c>
      <c r="G202" s="8" t="n">
        <f aca="false">C202-F202</f>
        <v>538324.879852457</v>
      </c>
      <c r="H202" s="8" t="n">
        <f aca="false">H201+F202</f>
        <v>226675.120147543</v>
      </c>
    </row>
    <row r="203" customFormat="false" ht="15" hidden="false" customHeight="false" outlineLevel="0" collapsed="false">
      <c r="B203" s="40" t="n">
        <v>196</v>
      </c>
      <c r="C203" s="8" t="n">
        <f aca="false">G202</f>
        <v>538324.879852457</v>
      </c>
      <c r="D203" s="8" t="n">
        <f aca="false">underwriting!D20</f>
        <v>5089.56408812075</v>
      </c>
      <c r="E203" s="8" t="n">
        <f aca="false">C203*underwriting!C15/12</f>
        <v>3140.228465806</v>
      </c>
      <c r="F203" s="8" t="n">
        <f aca="false">D203-E203</f>
        <v>1949.33562231474</v>
      </c>
      <c r="G203" s="8" t="n">
        <f aca="false">C203-F203</f>
        <v>536375.544230143</v>
      </c>
      <c r="H203" s="8" t="n">
        <f aca="false">H202+F203</f>
        <v>228624.455769857</v>
      </c>
    </row>
    <row r="204" customFormat="false" ht="15" hidden="false" customHeight="false" outlineLevel="0" collapsed="false">
      <c r="B204" s="40" t="n">
        <v>197</v>
      </c>
      <c r="C204" s="8" t="n">
        <f aca="false">G203</f>
        <v>536375.544230143</v>
      </c>
      <c r="D204" s="8" t="n">
        <f aca="false">underwriting!D20</f>
        <v>5089.56408812075</v>
      </c>
      <c r="E204" s="8" t="n">
        <f aca="false">C204*underwriting!C15/12</f>
        <v>3128.8573413425</v>
      </c>
      <c r="F204" s="8" t="n">
        <f aca="false">D204-E204</f>
        <v>1960.70674677825</v>
      </c>
      <c r="G204" s="8" t="n">
        <f aca="false">C204-F204</f>
        <v>534414.837483365</v>
      </c>
      <c r="H204" s="8" t="n">
        <f aca="false">H203+F204</f>
        <v>230585.162516636</v>
      </c>
    </row>
    <row r="205" customFormat="false" ht="15" hidden="false" customHeight="false" outlineLevel="0" collapsed="false">
      <c r="B205" s="40" t="n">
        <v>198</v>
      </c>
      <c r="C205" s="8" t="n">
        <f aca="false">G204</f>
        <v>534414.837483365</v>
      </c>
      <c r="D205" s="8" t="n">
        <f aca="false">underwriting!D20</f>
        <v>5089.56408812075</v>
      </c>
      <c r="E205" s="8" t="n">
        <f aca="false">C205*underwriting!C15/12</f>
        <v>3117.41988531963</v>
      </c>
      <c r="F205" s="8" t="n">
        <f aca="false">D205-E205</f>
        <v>1972.14420280112</v>
      </c>
      <c r="G205" s="8" t="n">
        <f aca="false">C205-F205</f>
        <v>532442.693280563</v>
      </c>
      <c r="H205" s="8" t="n">
        <f aca="false">H204+F205</f>
        <v>232557.306719437</v>
      </c>
    </row>
    <row r="206" customFormat="false" ht="15" hidden="false" customHeight="false" outlineLevel="0" collapsed="false">
      <c r="B206" s="40" t="n">
        <v>199</v>
      </c>
      <c r="C206" s="8" t="n">
        <f aca="false">G205</f>
        <v>532442.693280563</v>
      </c>
      <c r="D206" s="8" t="n">
        <f aca="false">underwriting!D20</f>
        <v>5089.56408812075</v>
      </c>
      <c r="E206" s="8" t="n">
        <f aca="false">C206*underwriting!C15/12</f>
        <v>3105.91571080329</v>
      </c>
      <c r="F206" s="8" t="n">
        <f aca="false">D206-E206</f>
        <v>1983.64837731746</v>
      </c>
      <c r="G206" s="8" t="n">
        <f aca="false">C206-F206</f>
        <v>530459.044903246</v>
      </c>
      <c r="H206" s="8" t="n">
        <f aca="false">H205+F206</f>
        <v>234540.955096754</v>
      </c>
    </row>
    <row r="207" customFormat="false" ht="15" hidden="false" customHeight="false" outlineLevel="0" collapsed="false">
      <c r="B207" s="40" t="n">
        <v>200</v>
      </c>
      <c r="C207" s="8" t="n">
        <f aca="false">G206</f>
        <v>530459.044903246</v>
      </c>
      <c r="D207" s="8" t="n">
        <f aca="false">underwriting!D20</f>
        <v>5089.56408812075</v>
      </c>
      <c r="E207" s="8" t="n">
        <f aca="false">C207*underwriting!C15/12</f>
        <v>3094.34442860227</v>
      </c>
      <c r="F207" s="8" t="n">
        <f aca="false">D207-E207</f>
        <v>1995.21965951848</v>
      </c>
      <c r="G207" s="8" t="n">
        <f aca="false">C207-F207</f>
        <v>528463.825243727</v>
      </c>
      <c r="H207" s="8" t="n">
        <f aca="false">H206+F207</f>
        <v>236536.174756273</v>
      </c>
    </row>
    <row r="208" customFormat="false" ht="15" hidden="false" customHeight="false" outlineLevel="0" collapsed="false">
      <c r="B208" s="40" t="n">
        <v>201</v>
      </c>
      <c r="C208" s="8" t="n">
        <f aca="false">G207</f>
        <v>528463.825243727</v>
      </c>
      <c r="D208" s="8" t="n">
        <f aca="false">underwriting!D20</f>
        <v>5089.56408812075</v>
      </c>
      <c r="E208" s="8" t="n">
        <f aca="false">C208*underwriting!C15/12</f>
        <v>3082.70564725508</v>
      </c>
      <c r="F208" s="8" t="n">
        <f aca="false">D208-E208</f>
        <v>2006.85844086567</v>
      </c>
      <c r="G208" s="8" t="n">
        <f aca="false">C208-F208</f>
        <v>526456.966802862</v>
      </c>
      <c r="H208" s="8" t="n">
        <f aca="false">H207+F208</f>
        <v>238543.033197138</v>
      </c>
    </row>
    <row r="209" customFormat="false" ht="15" hidden="false" customHeight="false" outlineLevel="0" collapsed="false">
      <c r="B209" s="40" t="n">
        <v>202</v>
      </c>
      <c r="C209" s="8" t="n">
        <f aca="false">G208</f>
        <v>526456.966802862</v>
      </c>
      <c r="D209" s="8" t="n">
        <f aca="false">underwriting!D20</f>
        <v>5089.56408812075</v>
      </c>
      <c r="E209" s="8" t="n">
        <f aca="false">C209*underwriting!C15/12</f>
        <v>3070.99897301669</v>
      </c>
      <c r="F209" s="8" t="n">
        <f aca="false">D209-E209</f>
        <v>2018.56511510405</v>
      </c>
      <c r="G209" s="8" t="n">
        <f aca="false">C209-F209</f>
        <v>524438.401687758</v>
      </c>
      <c r="H209" s="8" t="n">
        <f aca="false">H208+F209</f>
        <v>240561.598312242</v>
      </c>
    </row>
    <row r="210" customFormat="false" ht="15" hidden="false" customHeight="false" outlineLevel="0" collapsed="false">
      <c r="B210" s="40" t="n">
        <v>203</v>
      </c>
      <c r="C210" s="8" t="n">
        <f aca="false">G209</f>
        <v>524438.401687758</v>
      </c>
      <c r="D210" s="8" t="n">
        <f aca="false">underwriting!D20</f>
        <v>5089.56408812075</v>
      </c>
      <c r="E210" s="8" t="n">
        <f aca="false">C210*underwriting!C15/12</f>
        <v>3059.22400984525</v>
      </c>
      <c r="F210" s="8" t="n">
        <f aca="false">D210-E210</f>
        <v>2030.34007827549</v>
      </c>
      <c r="G210" s="8" t="n">
        <f aca="false">C210-F210</f>
        <v>522408.061609482</v>
      </c>
      <c r="H210" s="8" t="n">
        <f aca="false">H209+F210</f>
        <v>242591.938390518</v>
      </c>
    </row>
    <row r="211" customFormat="false" ht="15" hidden="false" customHeight="false" outlineLevel="0" collapsed="false">
      <c r="B211" s="40" t="n">
        <v>204</v>
      </c>
      <c r="C211" s="8" t="n">
        <f aca="false">G210</f>
        <v>522408.061609482</v>
      </c>
      <c r="D211" s="8" t="n">
        <f aca="false">underwriting!D20</f>
        <v>5089.56408812075</v>
      </c>
      <c r="E211" s="8" t="n">
        <f aca="false">C211*underwriting!C15/12</f>
        <v>3047.38035938865</v>
      </c>
      <c r="F211" s="8" t="n">
        <f aca="false">D211-E211</f>
        <v>2042.1837287321</v>
      </c>
      <c r="G211" s="8" t="n">
        <f aca="false">C211-F211</f>
        <v>520365.87788075</v>
      </c>
      <c r="H211" s="8" t="n">
        <f aca="false">H210+F211</f>
        <v>244634.12211925</v>
      </c>
    </row>
    <row r="212" customFormat="false" ht="15" hidden="false" customHeight="false" outlineLevel="0" collapsed="false">
      <c r="B212" s="40" t="n">
        <v>205</v>
      </c>
      <c r="C212" s="8" t="n">
        <f aca="false">G211</f>
        <v>520365.87788075</v>
      </c>
      <c r="D212" s="8" t="n">
        <f aca="false">underwriting!D20</f>
        <v>5089.56408812075</v>
      </c>
      <c r="E212" s="8" t="n">
        <f aca="false">C212*underwriting!C15/12</f>
        <v>3035.46762097104</v>
      </c>
      <c r="F212" s="8" t="n">
        <f aca="false">D212-E212</f>
        <v>2054.0964671497</v>
      </c>
      <c r="G212" s="8" t="n">
        <f aca="false">C212-F212</f>
        <v>518311.7814136</v>
      </c>
      <c r="H212" s="8" t="n">
        <f aca="false">H211+F212</f>
        <v>246688.2185864</v>
      </c>
    </row>
    <row r="213" customFormat="false" ht="15" hidden="false" customHeight="false" outlineLevel="0" collapsed="false">
      <c r="B213" s="40" t="n">
        <v>206</v>
      </c>
      <c r="C213" s="8" t="n">
        <f aca="false">G212</f>
        <v>518311.7814136</v>
      </c>
      <c r="D213" s="8" t="n">
        <f aca="false">underwriting!D20</f>
        <v>5089.56408812075</v>
      </c>
      <c r="E213" s="8" t="n">
        <f aca="false">C213*underwriting!C15/12</f>
        <v>3023.48539157934</v>
      </c>
      <c r="F213" s="8" t="n">
        <f aca="false">D213-E213</f>
        <v>2066.07869654141</v>
      </c>
      <c r="G213" s="8" t="n">
        <f aca="false">C213-F213</f>
        <v>516245.702717059</v>
      </c>
      <c r="H213" s="8" t="n">
        <f aca="false">H212+F213</f>
        <v>248754.297282941</v>
      </c>
    </row>
    <row r="214" customFormat="false" ht="15" hidden="false" customHeight="false" outlineLevel="0" collapsed="false">
      <c r="B214" s="40" t="n">
        <v>207</v>
      </c>
      <c r="C214" s="8" t="n">
        <f aca="false">G213</f>
        <v>516245.702717059</v>
      </c>
      <c r="D214" s="8" t="n">
        <f aca="false">underwriting!D20</f>
        <v>5089.56408812075</v>
      </c>
      <c r="E214" s="8" t="n">
        <f aca="false">C214*underwriting!C15/12</f>
        <v>3011.43326584951</v>
      </c>
      <c r="F214" s="8" t="n">
        <f aca="false">D214-E214</f>
        <v>2078.13082227123</v>
      </c>
      <c r="G214" s="8" t="n">
        <f aca="false">C214-F214</f>
        <v>514167.571894788</v>
      </c>
      <c r="H214" s="8" t="n">
        <f aca="false">H213+F214</f>
        <v>250832.428105212</v>
      </c>
    </row>
    <row r="215" customFormat="false" ht="15" hidden="false" customHeight="false" outlineLevel="0" collapsed="false">
      <c r="B215" s="40" t="n">
        <v>208</v>
      </c>
      <c r="C215" s="8" t="n">
        <f aca="false">G214</f>
        <v>514167.571894788</v>
      </c>
      <c r="D215" s="8" t="n">
        <f aca="false">underwriting!D20</f>
        <v>5089.56408812075</v>
      </c>
      <c r="E215" s="8" t="n">
        <f aca="false">C215*underwriting!C15/12</f>
        <v>2999.31083605293</v>
      </c>
      <c r="F215" s="8" t="n">
        <f aca="false">D215-E215</f>
        <v>2090.25325206782</v>
      </c>
      <c r="G215" s="8" t="n">
        <f aca="false">C215-F215</f>
        <v>512077.31864272</v>
      </c>
      <c r="H215" s="8" t="n">
        <f aca="false">H214+F215</f>
        <v>252922.68135728</v>
      </c>
    </row>
    <row r="216" customFormat="false" ht="15" hidden="false" customHeight="false" outlineLevel="0" collapsed="false">
      <c r="B216" s="40" t="n">
        <v>209</v>
      </c>
      <c r="C216" s="8" t="n">
        <f aca="false">G215</f>
        <v>512077.31864272</v>
      </c>
      <c r="D216" s="8" t="n">
        <f aca="false">underwriting!D20</f>
        <v>5089.56408812075</v>
      </c>
      <c r="E216" s="8" t="n">
        <f aca="false">C216*underwriting!C15/12</f>
        <v>2987.11769208253</v>
      </c>
      <c r="F216" s="8" t="n">
        <f aca="false">D216-E216</f>
        <v>2102.44639603821</v>
      </c>
      <c r="G216" s="8" t="n">
        <f aca="false">C216-F216</f>
        <v>509974.872246682</v>
      </c>
      <c r="H216" s="8" t="n">
        <f aca="false">H215+F216</f>
        <v>255025.127753318</v>
      </c>
    </row>
    <row r="217" customFormat="false" ht="15" hidden="false" customHeight="false" outlineLevel="0" collapsed="false">
      <c r="B217" s="40" t="n">
        <v>210</v>
      </c>
      <c r="C217" s="8" t="n">
        <f aca="false">G216</f>
        <v>509974.872246682</v>
      </c>
      <c r="D217" s="8" t="n">
        <f aca="false">underwriting!D20</f>
        <v>5089.56408812075</v>
      </c>
      <c r="E217" s="8" t="n">
        <f aca="false">C217*underwriting!C15/12</f>
        <v>2974.85342143898</v>
      </c>
      <c r="F217" s="8" t="n">
        <f aca="false">D217-E217</f>
        <v>2114.71066668177</v>
      </c>
      <c r="G217" s="8" t="n">
        <f aca="false">C217-F217</f>
        <v>507860.16158</v>
      </c>
      <c r="H217" s="8" t="n">
        <f aca="false">H216+F217</f>
        <v>257139.83842</v>
      </c>
    </row>
    <row r="218" customFormat="false" ht="15" hidden="false" customHeight="false" outlineLevel="0" collapsed="false">
      <c r="B218" s="40" t="n">
        <v>211</v>
      </c>
      <c r="C218" s="8" t="n">
        <f aca="false">G217</f>
        <v>507860.16158</v>
      </c>
      <c r="D218" s="8" t="n">
        <f aca="false">underwriting!D20</f>
        <v>5089.56408812075</v>
      </c>
      <c r="E218" s="8" t="n">
        <f aca="false">C218*underwriting!C15/12</f>
        <v>2962.51760921667</v>
      </c>
      <c r="F218" s="8" t="n">
        <f aca="false">D218-E218</f>
        <v>2127.04647890408</v>
      </c>
      <c r="G218" s="8" t="n">
        <f aca="false">C218-F218</f>
        <v>505733.115101096</v>
      </c>
      <c r="H218" s="8" t="n">
        <f aca="false">H217+F218</f>
        <v>259266.884898904</v>
      </c>
    </row>
    <row r="219" customFormat="false" ht="15" hidden="false" customHeight="false" outlineLevel="0" collapsed="false">
      <c r="B219" s="40" t="n">
        <v>212</v>
      </c>
      <c r="C219" s="8" t="n">
        <f aca="false">G218</f>
        <v>505733.115101096</v>
      </c>
      <c r="D219" s="8" t="n">
        <f aca="false">underwriting!D20</f>
        <v>5089.56408812075</v>
      </c>
      <c r="E219" s="8" t="n">
        <f aca="false">C219*underwriting!C15/12</f>
        <v>2950.10983808973</v>
      </c>
      <c r="F219" s="8" t="n">
        <f aca="false">D219-E219</f>
        <v>2139.45425003102</v>
      </c>
      <c r="G219" s="8" t="n">
        <f aca="false">C219-F219</f>
        <v>503593.660851065</v>
      </c>
      <c r="H219" s="8" t="n">
        <f aca="false">H218+F219</f>
        <v>261406.339148935</v>
      </c>
    </row>
    <row r="220" customFormat="false" ht="15" hidden="false" customHeight="false" outlineLevel="0" collapsed="false">
      <c r="B220" s="40" t="n">
        <v>213</v>
      </c>
      <c r="C220" s="8" t="n">
        <f aca="false">G219</f>
        <v>503593.660851065</v>
      </c>
      <c r="D220" s="8" t="n">
        <f aca="false">underwriting!D20</f>
        <v>5089.56408812075</v>
      </c>
      <c r="E220" s="8" t="n">
        <f aca="false">C220*underwriting!C15/12</f>
        <v>2937.62968829788</v>
      </c>
      <c r="F220" s="8" t="n">
        <f aca="false">D220-E220</f>
        <v>2151.93439982287</v>
      </c>
      <c r="G220" s="8" t="n">
        <f aca="false">C220-F220</f>
        <v>501441.726451242</v>
      </c>
      <c r="H220" s="8" t="n">
        <f aca="false">H219+F220</f>
        <v>263558.273548758</v>
      </c>
    </row>
    <row r="221" customFormat="false" ht="15" hidden="false" customHeight="false" outlineLevel="0" collapsed="false">
      <c r="B221" s="40" t="n">
        <v>214</v>
      </c>
      <c r="C221" s="8" t="n">
        <f aca="false">G220</f>
        <v>501441.726451242</v>
      </c>
      <c r="D221" s="8" t="n">
        <f aca="false">underwriting!D20</f>
        <v>5089.56408812075</v>
      </c>
      <c r="E221" s="8" t="n">
        <f aca="false">C221*underwriting!C15/12</f>
        <v>2925.07673763225</v>
      </c>
      <c r="F221" s="8" t="n">
        <f aca="false">D221-E221</f>
        <v>2164.4873504885</v>
      </c>
      <c r="G221" s="8" t="n">
        <f aca="false">C221-F221</f>
        <v>499277.239100754</v>
      </c>
      <c r="H221" s="8" t="n">
        <f aca="false">H220+F221</f>
        <v>265722.760899247</v>
      </c>
    </row>
    <row r="222" customFormat="false" ht="15" hidden="false" customHeight="false" outlineLevel="0" collapsed="false">
      <c r="B222" s="40" t="n">
        <v>215</v>
      </c>
      <c r="C222" s="8" t="n">
        <f aca="false">G221</f>
        <v>499277.239100754</v>
      </c>
      <c r="D222" s="8" t="n">
        <f aca="false">underwriting!D20</f>
        <v>5089.56408812075</v>
      </c>
      <c r="E222" s="8" t="n">
        <f aca="false">C222*underwriting!C15/12</f>
        <v>2912.45056142106</v>
      </c>
      <c r="F222" s="8" t="n">
        <f aca="false">D222-E222</f>
        <v>2177.11352669968</v>
      </c>
      <c r="G222" s="8" t="n">
        <f aca="false">C222-F222</f>
        <v>497100.125574054</v>
      </c>
      <c r="H222" s="8" t="n">
        <f aca="false">H221+F222</f>
        <v>267899.874425946</v>
      </c>
    </row>
    <row r="223" customFormat="false" ht="15" hidden="false" customHeight="false" outlineLevel="0" collapsed="false">
      <c r="B223" s="40" t="n">
        <v>216</v>
      </c>
      <c r="C223" s="8" t="n">
        <f aca="false">G222</f>
        <v>497100.125574054</v>
      </c>
      <c r="D223" s="8" t="n">
        <f aca="false">underwriting!D20</f>
        <v>5089.56408812075</v>
      </c>
      <c r="E223" s="8" t="n">
        <f aca="false">C223*underwriting!C15/12</f>
        <v>2899.75073251531</v>
      </c>
      <c r="F223" s="8" t="n">
        <f aca="false">D223-E223</f>
        <v>2189.81335560543</v>
      </c>
      <c r="G223" s="8" t="n">
        <f aca="false">C223-F223</f>
        <v>494910.312218448</v>
      </c>
      <c r="H223" s="8" t="n">
        <f aca="false">H222+F223</f>
        <v>270089.687781552</v>
      </c>
    </row>
    <row r="224" customFormat="false" ht="15" hidden="false" customHeight="false" outlineLevel="0" collapsed="false">
      <c r="B224" s="40" t="n">
        <v>217</v>
      </c>
      <c r="C224" s="8" t="n">
        <f aca="false">G223</f>
        <v>494910.312218448</v>
      </c>
      <c r="D224" s="8" t="n">
        <f aca="false">underwriting!D20</f>
        <v>5089.56408812075</v>
      </c>
      <c r="E224" s="8" t="n">
        <f aca="false">C224*underwriting!C15/12</f>
        <v>2886.97682127428</v>
      </c>
      <c r="F224" s="8" t="n">
        <f aca="false">D224-E224</f>
        <v>2202.58726684646</v>
      </c>
      <c r="G224" s="8" t="n">
        <f aca="false">C224-F224</f>
        <v>492707.724951602</v>
      </c>
      <c r="H224" s="8" t="n">
        <f aca="false">H223+F224</f>
        <v>272292.275048398</v>
      </c>
    </row>
    <row r="225" customFormat="false" ht="15" hidden="false" customHeight="false" outlineLevel="0" collapsed="false">
      <c r="B225" s="40" t="n">
        <v>218</v>
      </c>
      <c r="C225" s="8" t="n">
        <f aca="false">G224</f>
        <v>492707.724951602</v>
      </c>
      <c r="D225" s="8" t="n">
        <f aca="false">underwriting!D20</f>
        <v>5089.56408812075</v>
      </c>
      <c r="E225" s="8" t="n">
        <f aca="false">C225*underwriting!C15/12</f>
        <v>2874.12839555101</v>
      </c>
      <c r="F225" s="8" t="n">
        <f aca="false">D225-E225</f>
        <v>2215.43569256973</v>
      </c>
      <c r="G225" s="8" t="n">
        <f aca="false">C225-F225</f>
        <v>490492.289259032</v>
      </c>
      <c r="H225" s="8" t="n">
        <f aca="false">H224+F225</f>
        <v>274507.710740968</v>
      </c>
    </row>
    <row r="226" customFormat="false" ht="15" hidden="false" customHeight="false" outlineLevel="0" collapsed="false">
      <c r="B226" s="40" t="n">
        <v>219</v>
      </c>
      <c r="C226" s="8" t="n">
        <f aca="false">G225</f>
        <v>490492.289259032</v>
      </c>
      <c r="D226" s="8" t="n">
        <f aca="false">underwriting!D20</f>
        <v>5089.56408812075</v>
      </c>
      <c r="E226" s="8" t="n">
        <f aca="false">C226*underwriting!C15/12</f>
        <v>2861.20502067769</v>
      </c>
      <c r="F226" s="8" t="n">
        <f aca="false">D226-E226</f>
        <v>2228.35906744306</v>
      </c>
      <c r="G226" s="8" t="n">
        <f aca="false">C226-F226</f>
        <v>488263.930191589</v>
      </c>
      <c r="H226" s="8" t="n">
        <f aca="false">H225+F226</f>
        <v>276736.069808411</v>
      </c>
    </row>
    <row r="227" customFormat="false" ht="15" hidden="false" customHeight="false" outlineLevel="0" collapsed="false">
      <c r="B227" s="40" t="n">
        <v>220</v>
      </c>
      <c r="C227" s="8" t="n">
        <f aca="false">G226</f>
        <v>488263.930191589</v>
      </c>
      <c r="D227" s="8" t="n">
        <f aca="false">underwriting!D20</f>
        <v>5089.56408812075</v>
      </c>
      <c r="E227" s="8" t="n">
        <f aca="false">C227*underwriting!C15/12</f>
        <v>2848.20625945094</v>
      </c>
      <c r="F227" s="8" t="n">
        <f aca="false">D227-E227</f>
        <v>2241.35782866981</v>
      </c>
      <c r="G227" s="8" t="n">
        <f aca="false">C227-F227</f>
        <v>486022.572362919</v>
      </c>
      <c r="H227" s="8" t="n">
        <f aca="false">H226+F227</f>
        <v>278977.427637081</v>
      </c>
    </row>
    <row r="228" customFormat="false" ht="15" hidden="false" customHeight="false" outlineLevel="0" collapsed="false">
      <c r="B228" s="40" t="n">
        <v>221</v>
      </c>
      <c r="C228" s="8" t="n">
        <f aca="false">G227</f>
        <v>486022.572362919</v>
      </c>
      <c r="D228" s="8" t="n">
        <f aca="false">underwriting!D20</f>
        <v>5089.56408812075</v>
      </c>
      <c r="E228" s="8" t="n">
        <f aca="false">C228*underwriting!C15/12</f>
        <v>2835.13167211703</v>
      </c>
      <c r="F228" s="8" t="n">
        <f aca="false">D228-E228</f>
        <v>2254.43241600371</v>
      </c>
      <c r="G228" s="8" t="n">
        <f aca="false">C228-F228</f>
        <v>483768.139946916</v>
      </c>
      <c r="H228" s="8" t="n">
        <f aca="false">H227+F228</f>
        <v>281231.860053084</v>
      </c>
    </row>
    <row r="229" customFormat="false" ht="15" hidden="false" customHeight="false" outlineLevel="0" collapsed="false">
      <c r="B229" s="40" t="n">
        <v>222</v>
      </c>
      <c r="C229" s="8" t="n">
        <f aca="false">G228</f>
        <v>483768.139946916</v>
      </c>
      <c r="D229" s="8" t="n">
        <f aca="false">underwriting!D20</f>
        <v>5089.56408812075</v>
      </c>
      <c r="E229" s="8" t="n">
        <f aca="false">C229*underwriting!C15/12</f>
        <v>2821.98081635701</v>
      </c>
      <c r="F229" s="8" t="n">
        <f aca="false">D229-E229</f>
        <v>2267.58327176374</v>
      </c>
      <c r="G229" s="8" t="n">
        <f aca="false">C229-F229</f>
        <v>481500.556675152</v>
      </c>
      <c r="H229" s="8" t="n">
        <f aca="false">H228+F229</f>
        <v>283499.443324848</v>
      </c>
    </row>
    <row r="230" customFormat="false" ht="15" hidden="false" customHeight="false" outlineLevel="0" collapsed="false">
      <c r="B230" s="40" t="n">
        <v>223</v>
      </c>
      <c r="C230" s="8" t="n">
        <f aca="false">G229</f>
        <v>481500.556675152</v>
      </c>
      <c r="D230" s="8" t="n">
        <f aca="false">underwriting!D20</f>
        <v>5089.56408812075</v>
      </c>
      <c r="E230" s="8" t="n">
        <f aca="false">C230*underwriting!C15/12</f>
        <v>2808.75324727172</v>
      </c>
      <c r="F230" s="8" t="n">
        <f aca="false">D230-E230</f>
        <v>2280.81084084902</v>
      </c>
      <c r="G230" s="8" t="n">
        <f aca="false">C230-F230</f>
        <v>479219.745834303</v>
      </c>
      <c r="H230" s="8" t="n">
        <f aca="false">H229+F230</f>
        <v>285780.254165697</v>
      </c>
    </row>
    <row r="231" customFormat="false" ht="15" hidden="false" customHeight="false" outlineLevel="0" collapsed="false">
      <c r="B231" s="40" t="n">
        <v>224</v>
      </c>
      <c r="C231" s="8" t="n">
        <f aca="false">G230</f>
        <v>479219.745834303</v>
      </c>
      <c r="D231" s="8" t="n">
        <f aca="false">underwriting!D20</f>
        <v>5089.56408812075</v>
      </c>
      <c r="E231" s="8" t="n">
        <f aca="false">C231*underwriting!C15/12</f>
        <v>2795.44851736677</v>
      </c>
      <c r="F231" s="8" t="n">
        <f aca="false">D231-E231</f>
        <v>2294.11557075398</v>
      </c>
      <c r="G231" s="8" t="n">
        <f aca="false">C231-F231</f>
        <v>476925.630263549</v>
      </c>
      <c r="H231" s="8" t="n">
        <f aca="false">H230+F231</f>
        <v>288074.369736451</v>
      </c>
    </row>
    <row r="232" customFormat="false" ht="15" hidden="false" customHeight="false" outlineLevel="0" collapsed="false">
      <c r="B232" s="40" t="n">
        <v>225</v>
      </c>
      <c r="C232" s="8" t="n">
        <f aca="false">G231</f>
        <v>476925.630263549</v>
      </c>
      <c r="D232" s="8" t="n">
        <f aca="false">underwriting!D20</f>
        <v>5089.56408812075</v>
      </c>
      <c r="E232" s="8" t="n">
        <f aca="false">C232*underwriting!C15/12</f>
        <v>2782.06617653737</v>
      </c>
      <c r="F232" s="8" t="n">
        <f aca="false">D232-E232</f>
        <v>2307.49791158338</v>
      </c>
      <c r="G232" s="8" t="n">
        <f aca="false">C232-F232</f>
        <v>474618.132351966</v>
      </c>
      <c r="H232" s="8" t="n">
        <f aca="false">H231+F232</f>
        <v>290381.867648035</v>
      </c>
    </row>
    <row r="233" customFormat="false" ht="15" hidden="false" customHeight="false" outlineLevel="0" collapsed="false">
      <c r="B233" s="40" t="n">
        <v>226</v>
      </c>
      <c r="C233" s="8" t="n">
        <f aca="false">G232</f>
        <v>474618.132351966</v>
      </c>
      <c r="D233" s="8" t="n">
        <f aca="false">underwriting!D20</f>
        <v>5089.56408812075</v>
      </c>
      <c r="E233" s="8" t="n">
        <f aca="false">C233*underwriting!C15/12</f>
        <v>2768.60577205313</v>
      </c>
      <c r="F233" s="8" t="n">
        <f aca="false">D233-E233</f>
        <v>2320.95831606761</v>
      </c>
      <c r="G233" s="8" t="n">
        <f aca="false">C233-F233</f>
        <v>472297.174035898</v>
      </c>
      <c r="H233" s="8" t="n">
        <f aca="false">H232+F233</f>
        <v>292702.825964102</v>
      </c>
    </row>
    <row r="234" customFormat="false" ht="15" hidden="false" customHeight="false" outlineLevel="0" collapsed="false">
      <c r="B234" s="40" t="n">
        <v>227</v>
      </c>
      <c r="C234" s="8" t="n">
        <f aca="false">G233</f>
        <v>472297.174035898</v>
      </c>
      <c r="D234" s="8" t="n">
        <f aca="false">underwriting!D20</f>
        <v>5089.56408812075</v>
      </c>
      <c r="E234" s="8" t="n">
        <f aca="false">C234*underwriting!C15/12</f>
        <v>2755.06684854274</v>
      </c>
      <c r="F234" s="8" t="n">
        <f aca="false">D234-E234</f>
        <v>2334.49723957801</v>
      </c>
      <c r="G234" s="8" t="n">
        <f aca="false">C234-F234</f>
        <v>469962.67679632</v>
      </c>
      <c r="H234" s="8" t="n">
        <f aca="false">H233+F234</f>
        <v>295037.32320368</v>
      </c>
    </row>
    <row r="235" customFormat="false" ht="15" hidden="false" customHeight="false" outlineLevel="0" collapsed="false">
      <c r="B235" s="40" t="n">
        <v>228</v>
      </c>
      <c r="C235" s="8" t="n">
        <f aca="false">G234</f>
        <v>469962.67679632</v>
      </c>
      <c r="D235" s="8" t="n">
        <f aca="false">underwriting!D20</f>
        <v>5089.56408812075</v>
      </c>
      <c r="E235" s="8" t="n">
        <f aca="false">C235*underwriting!C15/12</f>
        <v>2741.44894797853</v>
      </c>
      <c r="F235" s="8" t="n">
        <f aca="false">D235-E235</f>
        <v>2348.11514014221</v>
      </c>
      <c r="G235" s="8" t="n">
        <f aca="false">C235-F235</f>
        <v>467614.561656178</v>
      </c>
      <c r="H235" s="8" t="n">
        <f aca="false">H234+F235</f>
        <v>297385.438343822</v>
      </c>
    </row>
    <row r="236" customFormat="false" ht="15" hidden="false" customHeight="false" outlineLevel="0" collapsed="false">
      <c r="B236" s="40" t="n">
        <v>229</v>
      </c>
      <c r="C236" s="8" t="n">
        <f aca="false">G235</f>
        <v>467614.561656178</v>
      </c>
      <c r="D236" s="8" t="n">
        <f aca="false">underwriting!D20</f>
        <v>5089.56408812075</v>
      </c>
      <c r="E236" s="8" t="n">
        <f aca="false">C236*underwriting!C15/12</f>
        <v>2727.75160966104</v>
      </c>
      <c r="F236" s="8" t="n">
        <f aca="false">D236-E236</f>
        <v>2361.81247845971</v>
      </c>
      <c r="G236" s="8" t="n">
        <f aca="false">C236-F236</f>
        <v>465252.749177718</v>
      </c>
      <c r="H236" s="8" t="n">
        <f aca="false">H235+F236</f>
        <v>299747.250822282</v>
      </c>
    </row>
    <row r="237" customFormat="false" ht="15" hidden="false" customHeight="false" outlineLevel="0" collapsed="false">
      <c r="B237" s="40" t="n">
        <v>230</v>
      </c>
      <c r="C237" s="8" t="n">
        <f aca="false">G236</f>
        <v>465252.749177718</v>
      </c>
      <c r="D237" s="8" t="n">
        <f aca="false">underwriting!D20</f>
        <v>5089.56408812075</v>
      </c>
      <c r="E237" s="8" t="n">
        <f aca="false">C237*underwriting!C15/12</f>
        <v>2713.97437020336</v>
      </c>
      <c r="F237" s="8" t="n">
        <f aca="false">D237-E237</f>
        <v>2375.58971791739</v>
      </c>
      <c r="G237" s="8" t="n">
        <f aca="false">C237-F237</f>
        <v>462877.159459801</v>
      </c>
      <c r="H237" s="8" t="n">
        <f aca="false">H236+F237</f>
        <v>302122.840540199</v>
      </c>
    </row>
    <row r="238" customFormat="false" ht="15" hidden="false" customHeight="false" outlineLevel="0" collapsed="false">
      <c r="B238" s="40" t="n">
        <v>231</v>
      </c>
      <c r="C238" s="8" t="n">
        <f aca="false">G237</f>
        <v>462877.159459801</v>
      </c>
      <c r="D238" s="8" t="n">
        <f aca="false">underwriting!D20</f>
        <v>5089.56408812075</v>
      </c>
      <c r="E238" s="8" t="n">
        <f aca="false">C238*underwriting!C15/12</f>
        <v>2700.1167635155</v>
      </c>
      <c r="F238" s="8" t="n">
        <f aca="false">D238-E238</f>
        <v>2389.44732460524</v>
      </c>
      <c r="G238" s="8" t="n">
        <f aca="false">C238-F238</f>
        <v>460487.712135195</v>
      </c>
      <c r="H238" s="8" t="n">
        <f aca="false">H237+F238</f>
        <v>304512.287864805</v>
      </c>
    </row>
    <row r="239" customFormat="false" ht="15" hidden="false" customHeight="false" outlineLevel="0" collapsed="false">
      <c r="B239" s="40" t="n">
        <v>232</v>
      </c>
      <c r="C239" s="8" t="n">
        <f aca="false">G238</f>
        <v>460487.712135195</v>
      </c>
      <c r="D239" s="8" t="n">
        <f aca="false">underwriting!D20</f>
        <v>5089.56408812075</v>
      </c>
      <c r="E239" s="8" t="n">
        <f aca="false">C239*underwriting!C15/12</f>
        <v>2686.17832078864</v>
      </c>
      <c r="F239" s="8" t="n">
        <f aca="false">D239-E239</f>
        <v>2403.38576733211</v>
      </c>
      <c r="G239" s="8" t="n">
        <f aca="false">C239-F239</f>
        <v>458084.326367863</v>
      </c>
      <c r="H239" s="8" t="n">
        <f aca="false">H238+F239</f>
        <v>306915.673632137</v>
      </c>
    </row>
    <row r="240" customFormat="false" ht="15" hidden="false" customHeight="false" outlineLevel="0" collapsed="false">
      <c r="B240" s="40" t="n">
        <v>233</v>
      </c>
      <c r="C240" s="8" t="n">
        <f aca="false">G239</f>
        <v>458084.326367863</v>
      </c>
      <c r="D240" s="8" t="n">
        <f aca="false">underwriting!D20</f>
        <v>5089.56408812075</v>
      </c>
      <c r="E240" s="8" t="n">
        <f aca="false">C240*underwriting!C15/12</f>
        <v>2672.1585704792</v>
      </c>
      <c r="F240" s="8" t="n">
        <f aca="false">D240-E240</f>
        <v>2417.40551764154</v>
      </c>
      <c r="G240" s="8" t="n">
        <f aca="false">C240-F240</f>
        <v>455666.920850222</v>
      </c>
      <c r="H240" s="8" t="n">
        <f aca="false">H239+F240</f>
        <v>309333.079149778</v>
      </c>
    </row>
    <row r="241" customFormat="false" ht="15" hidden="false" customHeight="false" outlineLevel="0" collapsed="false">
      <c r="B241" s="40" t="n">
        <v>234</v>
      </c>
      <c r="C241" s="8" t="n">
        <f aca="false">G240</f>
        <v>455666.920850222</v>
      </c>
      <c r="D241" s="8" t="n">
        <f aca="false">underwriting!D20</f>
        <v>5089.56408812075</v>
      </c>
      <c r="E241" s="8" t="n">
        <f aca="false">C241*underwriting!C15/12</f>
        <v>2658.05703829296</v>
      </c>
      <c r="F241" s="8" t="n">
        <f aca="false">D241-E241</f>
        <v>2431.50704982778</v>
      </c>
      <c r="G241" s="8" t="n">
        <f aca="false">C241-F241</f>
        <v>453235.413800394</v>
      </c>
      <c r="H241" s="8" t="n">
        <f aca="false">H240+F241</f>
        <v>311764.586199606</v>
      </c>
    </row>
    <row r="242" customFormat="false" ht="15" hidden="false" customHeight="false" outlineLevel="0" collapsed="false">
      <c r="B242" s="40" t="n">
        <v>235</v>
      </c>
      <c r="C242" s="8" t="n">
        <f aca="false">G241</f>
        <v>453235.413800394</v>
      </c>
      <c r="D242" s="8" t="n">
        <f aca="false">underwriting!D20</f>
        <v>5089.56408812075</v>
      </c>
      <c r="E242" s="8" t="n">
        <f aca="false">C242*underwriting!C15/12</f>
        <v>2643.87324716896</v>
      </c>
      <c r="F242" s="8" t="n">
        <f aca="false">D242-E242</f>
        <v>2445.69084095178</v>
      </c>
      <c r="G242" s="8" t="n">
        <f aca="false">C242-F242</f>
        <v>450789.722959442</v>
      </c>
      <c r="H242" s="8" t="n">
        <f aca="false">H241+F242</f>
        <v>314210.277040558</v>
      </c>
    </row>
    <row r="243" customFormat="false" ht="15" hidden="false" customHeight="false" outlineLevel="0" collapsed="false">
      <c r="B243" s="40" t="n">
        <v>236</v>
      </c>
      <c r="C243" s="8" t="n">
        <f aca="false">G242</f>
        <v>450789.722959442</v>
      </c>
      <c r="D243" s="8" t="n">
        <f aca="false">underwriting!D20</f>
        <v>5089.56408812075</v>
      </c>
      <c r="E243" s="8" t="n">
        <f aca="false">C243*underwriting!C15/12</f>
        <v>2629.60671726341</v>
      </c>
      <c r="F243" s="8" t="n">
        <f aca="false">D243-E243</f>
        <v>2459.95737085733</v>
      </c>
      <c r="G243" s="8" t="n">
        <f aca="false">C243-F243</f>
        <v>448329.765588585</v>
      </c>
      <c r="H243" s="8" t="n">
        <f aca="false">H242+F243</f>
        <v>316670.234411415</v>
      </c>
    </row>
    <row r="244" customFormat="false" ht="15" hidden="false" customHeight="false" outlineLevel="0" collapsed="false">
      <c r="B244" s="40" t="n">
        <v>237</v>
      </c>
      <c r="C244" s="8" t="n">
        <f aca="false">G243</f>
        <v>448329.765588585</v>
      </c>
      <c r="D244" s="8" t="n">
        <f aca="false">underwriting!D20</f>
        <v>5089.56408812075</v>
      </c>
      <c r="E244" s="8" t="n">
        <f aca="false">C244*underwriting!C15/12</f>
        <v>2615.25696593341</v>
      </c>
      <c r="F244" s="8" t="n">
        <f aca="false">D244-E244</f>
        <v>2474.30712218733</v>
      </c>
      <c r="G244" s="8" t="n">
        <f aca="false">C244-F244</f>
        <v>445855.458466397</v>
      </c>
      <c r="H244" s="8" t="n">
        <f aca="false">H243+F244</f>
        <v>319144.541533603</v>
      </c>
    </row>
    <row r="245" customFormat="false" ht="15" hidden="false" customHeight="false" outlineLevel="0" collapsed="false">
      <c r="B245" s="40" t="n">
        <v>238</v>
      </c>
      <c r="C245" s="8" t="n">
        <f aca="false">G244</f>
        <v>445855.458466397</v>
      </c>
      <c r="D245" s="8" t="n">
        <f aca="false">underwriting!D20</f>
        <v>5089.56408812075</v>
      </c>
      <c r="E245" s="8" t="n">
        <f aca="false">C245*underwriting!C15/12</f>
        <v>2600.82350772065</v>
      </c>
      <c r="F245" s="8" t="n">
        <f aca="false">D245-E245</f>
        <v>2488.74058040009</v>
      </c>
      <c r="G245" s="8" t="n">
        <f aca="false">C245-F245</f>
        <v>443366.717885997</v>
      </c>
      <c r="H245" s="8" t="n">
        <f aca="false">H244+F245</f>
        <v>321633.282114003</v>
      </c>
    </row>
    <row r="246" customFormat="false" ht="15" hidden="false" customHeight="false" outlineLevel="0" collapsed="false">
      <c r="B246" s="40" t="n">
        <v>239</v>
      </c>
      <c r="C246" s="8" t="n">
        <f aca="false">G245</f>
        <v>443366.717885997</v>
      </c>
      <c r="D246" s="8" t="n">
        <f aca="false">underwriting!D20</f>
        <v>5089.56408812075</v>
      </c>
      <c r="E246" s="8" t="n">
        <f aca="false">C246*underwriting!C15/12</f>
        <v>2586.30585433498</v>
      </c>
      <c r="F246" s="8" t="n">
        <f aca="false">D246-E246</f>
        <v>2503.25823378576</v>
      </c>
      <c r="G246" s="8" t="n">
        <f aca="false">C246-F246</f>
        <v>440863.459652212</v>
      </c>
      <c r="H246" s="8" t="n">
        <f aca="false">H245+F246</f>
        <v>324136.540347789</v>
      </c>
    </row>
    <row r="247" customFormat="false" ht="15" hidden="false" customHeight="false" outlineLevel="0" collapsed="false">
      <c r="B247" s="40" t="n">
        <v>240</v>
      </c>
      <c r="C247" s="8" t="n">
        <f aca="false">G246</f>
        <v>440863.459652212</v>
      </c>
      <c r="D247" s="8" t="n">
        <f aca="false">underwriting!D20</f>
        <v>5089.56408812075</v>
      </c>
      <c r="E247" s="8" t="n">
        <f aca="false">C247*underwriting!C15/12</f>
        <v>2571.7035146379</v>
      </c>
      <c r="F247" s="8" t="n">
        <f aca="false">D247-E247</f>
        <v>2517.86057348284</v>
      </c>
      <c r="G247" s="8" t="n">
        <f aca="false">C247-F247</f>
        <v>438345.599078729</v>
      </c>
      <c r="H247" s="8" t="n">
        <f aca="false">H246+F247</f>
        <v>326654.400921271</v>
      </c>
    </row>
    <row r="248" customFormat="false" ht="15" hidden="false" customHeight="false" outlineLevel="0" collapsed="false">
      <c r="B248" s="40" t="n">
        <v>241</v>
      </c>
      <c r="C248" s="8" t="n">
        <f aca="false">G247</f>
        <v>438345.599078729</v>
      </c>
      <c r="D248" s="8" t="n">
        <f aca="false">underwriting!D20</f>
        <v>5089.56408812075</v>
      </c>
      <c r="E248" s="8" t="n">
        <f aca="false">C248*underwriting!C15/12</f>
        <v>2557.01599462592</v>
      </c>
      <c r="F248" s="8" t="n">
        <f aca="false">D248-E248</f>
        <v>2532.54809349483</v>
      </c>
      <c r="G248" s="8" t="n">
        <f aca="false">C248-F248</f>
        <v>435813.050985234</v>
      </c>
      <c r="H248" s="8" t="n">
        <f aca="false">H247+F248</f>
        <v>329186.949014766</v>
      </c>
    </row>
    <row r="249" customFormat="false" ht="15" hidden="false" customHeight="false" outlineLevel="0" collapsed="false">
      <c r="B249" s="40" t="n">
        <v>242</v>
      </c>
      <c r="C249" s="8" t="n">
        <f aca="false">G248</f>
        <v>435813.050985234</v>
      </c>
      <c r="D249" s="8" t="n">
        <f aca="false">underwriting!D20</f>
        <v>5089.56408812075</v>
      </c>
      <c r="E249" s="8" t="n">
        <f aca="false">C249*underwriting!C15/12</f>
        <v>2542.24279741386</v>
      </c>
      <c r="F249" s="8" t="n">
        <f aca="false">D249-E249</f>
        <v>2547.32129070688</v>
      </c>
      <c r="G249" s="8" t="n">
        <f aca="false">C249-F249</f>
        <v>433265.729694527</v>
      </c>
      <c r="H249" s="8" t="n">
        <f aca="false">H248+F249</f>
        <v>331734.270305473</v>
      </c>
    </row>
    <row r="250" customFormat="false" ht="15" hidden="false" customHeight="false" outlineLevel="0" collapsed="false">
      <c r="B250" s="40" t="n">
        <v>243</v>
      </c>
      <c r="C250" s="8" t="n">
        <f aca="false">G249</f>
        <v>433265.729694527</v>
      </c>
      <c r="D250" s="8" t="n">
        <f aca="false">underwriting!D20</f>
        <v>5089.56408812075</v>
      </c>
      <c r="E250" s="8" t="n">
        <f aca="false">C250*underwriting!C15/12</f>
        <v>2527.38342321807</v>
      </c>
      <c r="F250" s="8" t="n">
        <f aca="false">D250-E250</f>
        <v>2562.18066490267</v>
      </c>
      <c r="G250" s="8" t="n">
        <f aca="false">C250-F250</f>
        <v>430703.549029624</v>
      </c>
      <c r="H250" s="8" t="n">
        <f aca="false">H249+F250</f>
        <v>334296.450970376</v>
      </c>
    </row>
    <row r="251" customFormat="false" ht="15" hidden="false" customHeight="false" outlineLevel="0" collapsed="false">
      <c r="B251" s="40" t="n">
        <v>244</v>
      </c>
      <c r="C251" s="8" t="n">
        <f aca="false">G250</f>
        <v>430703.549029624</v>
      </c>
      <c r="D251" s="8" t="n">
        <f aca="false">underwriting!D20</f>
        <v>5089.56408812075</v>
      </c>
      <c r="E251" s="8" t="n">
        <f aca="false">C251*underwriting!C15/12</f>
        <v>2512.43736933948</v>
      </c>
      <c r="F251" s="8" t="n">
        <f aca="false">D251-E251</f>
        <v>2577.12671878127</v>
      </c>
      <c r="G251" s="8" t="n">
        <f aca="false">C251-F251</f>
        <v>428126.422310843</v>
      </c>
      <c r="H251" s="8" t="n">
        <f aca="false">H250+F251</f>
        <v>336873.577689157</v>
      </c>
    </row>
    <row r="252" customFormat="false" ht="15" hidden="false" customHeight="false" outlineLevel="0" collapsed="false">
      <c r="B252" s="40" t="n">
        <v>245</v>
      </c>
      <c r="C252" s="8" t="n">
        <f aca="false">G251</f>
        <v>428126.422310843</v>
      </c>
      <c r="D252" s="8" t="n">
        <f aca="false">underwriting!D20</f>
        <v>5089.56408812075</v>
      </c>
      <c r="E252" s="8" t="n">
        <f aca="false">C252*underwriting!C15/12</f>
        <v>2497.40413014659</v>
      </c>
      <c r="F252" s="8" t="n">
        <f aca="false">D252-E252</f>
        <v>2592.15995797416</v>
      </c>
      <c r="G252" s="8" t="n">
        <f aca="false">C252-F252</f>
        <v>425534.262352869</v>
      </c>
      <c r="H252" s="8" t="n">
        <f aca="false">H251+F252</f>
        <v>339465.737647131</v>
      </c>
    </row>
    <row r="253" customFormat="false" ht="15" hidden="false" customHeight="false" outlineLevel="0" collapsed="false">
      <c r="B253" s="40" t="n">
        <v>246</v>
      </c>
      <c r="C253" s="8" t="n">
        <f aca="false">G252</f>
        <v>425534.262352869</v>
      </c>
      <c r="D253" s="8" t="n">
        <f aca="false">underwriting!D20</f>
        <v>5089.56408812075</v>
      </c>
      <c r="E253" s="8" t="n">
        <f aca="false">C253*underwriting!C15/12</f>
        <v>2482.2831970584</v>
      </c>
      <c r="F253" s="8" t="n">
        <f aca="false">D253-E253</f>
        <v>2607.28089106234</v>
      </c>
      <c r="G253" s="8" t="n">
        <f aca="false">C253-F253</f>
        <v>422926.981461807</v>
      </c>
      <c r="H253" s="8" t="n">
        <f aca="false">H252+F253</f>
        <v>342073.018538193</v>
      </c>
    </row>
    <row r="254" customFormat="false" ht="15" hidden="false" customHeight="false" outlineLevel="0" collapsed="false">
      <c r="B254" s="40" t="n">
        <v>247</v>
      </c>
      <c r="C254" s="8" t="n">
        <f aca="false">G253</f>
        <v>422926.981461807</v>
      </c>
      <c r="D254" s="8" t="n">
        <f aca="false">underwriting!D20</f>
        <v>5089.56408812075</v>
      </c>
      <c r="E254" s="8" t="n">
        <f aca="false">C254*underwriting!C15/12</f>
        <v>2467.07405852721</v>
      </c>
      <c r="F254" s="8" t="n">
        <f aca="false">D254-E254</f>
        <v>2622.49002959354</v>
      </c>
      <c r="G254" s="8" t="n">
        <f aca="false">C254-F254</f>
        <v>420304.491432213</v>
      </c>
      <c r="H254" s="8" t="n">
        <f aca="false">H253+F254</f>
        <v>344695.508567787</v>
      </c>
    </row>
    <row r="255" customFormat="false" ht="15" hidden="false" customHeight="false" outlineLevel="0" collapsed="false">
      <c r="B255" s="40" t="n">
        <v>248</v>
      </c>
      <c r="C255" s="8" t="n">
        <f aca="false">G254</f>
        <v>420304.491432213</v>
      </c>
      <c r="D255" s="8" t="n">
        <f aca="false">underwriting!D20</f>
        <v>5089.56408812075</v>
      </c>
      <c r="E255" s="8" t="n">
        <f aca="false">C255*underwriting!C15/12</f>
        <v>2451.77620002124</v>
      </c>
      <c r="F255" s="8" t="n">
        <f aca="false">D255-E255</f>
        <v>2637.7878880995</v>
      </c>
      <c r="G255" s="8" t="n">
        <f aca="false">C255-F255</f>
        <v>417666.703544114</v>
      </c>
      <c r="H255" s="8" t="n">
        <f aca="false">H254+F255</f>
        <v>347333.296455886</v>
      </c>
    </row>
    <row r="256" customFormat="false" ht="15" hidden="false" customHeight="false" outlineLevel="0" collapsed="false">
      <c r="B256" s="40" t="n">
        <v>249</v>
      </c>
      <c r="C256" s="8" t="n">
        <f aca="false">G255</f>
        <v>417666.703544114</v>
      </c>
      <c r="D256" s="8" t="n">
        <f aca="false">underwriting!D20</f>
        <v>5089.56408812075</v>
      </c>
      <c r="E256" s="8" t="n">
        <f aca="false">C256*underwriting!C15/12</f>
        <v>2436.38910400733</v>
      </c>
      <c r="F256" s="8" t="n">
        <f aca="false">D256-E256</f>
        <v>2653.17498411342</v>
      </c>
      <c r="G256" s="8" t="n">
        <f aca="false">C256-F256</f>
        <v>415013.52856</v>
      </c>
      <c r="H256" s="8" t="n">
        <f aca="false">H255+F256</f>
        <v>349986.47144</v>
      </c>
    </row>
    <row r="257" customFormat="false" ht="15" hidden="false" customHeight="false" outlineLevel="0" collapsed="false">
      <c r="B257" s="40" t="n">
        <v>250</v>
      </c>
      <c r="C257" s="8" t="n">
        <f aca="false">G256</f>
        <v>415013.52856</v>
      </c>
      <c r="D257" s="8" t="n">
        <f aca="false">underwriting!D20</f>
        <v>5089.56408812075</v>
      </c>
      <c r="E257" s="8" t="n">
        <f aca="false">C257*underwriting!C15/12</f>
        <v>2420.91224993333</v>
      </c>
      <c r="F257" s="8" t="n">
        <f aca="false">D257-E257</f>
        <v>2668.65183818741</v>
      </c>
      <c r="G257" s="8" t="n">
        <f aca="false">C257-F257</f>
        <v>412344.876721813</v>
      </c>
      <c r="H257" s="8" t="n">
        <f aca="false">H256+F257</f>
        <v>352655.123278187</v>
      </c>
    </row>
    <row r="258" customFormat="false" ht="15" hidden="false" customHeight="false" outlineLevel="0" collapsed="false">
      <c r="B258" s="40" t="n">
        <v>251</v>
      </c>
      <c r="C258" s="8" t="n">
        <f aca="false">G257</f>
        <v>412344.876721813</v>
      </c>
      <c r="D258" s="8" t="n">
        <f aca="false">underwriting!D20</f>
        <v>5089.56408812075</v>
      </c>
      <c r="E258" s="8" t="n">
        <f aca="false">C258*underwriting!C15/12</f>
        <v>2405.34511421057</v>
      </c>
      <c r="F258" s="8" t="n">
        <f aca="false">D258-E258</f>
        <v>2684.21897391017</v>
      </c>
      <c r="G258" s="8" t="n">
        <f aca="false">C258-F258</f>
        <v>409660.657747903</v>
      </c>
      <c r="H258" s="8" t="n">
        <f aca="false">H257+F258</f>
        <v>355339.342252097</v>
      </c>
    </row>
    <row r="259" customFormat="false" ht="15" hidden="false" customHeight="false" outlineLevel="0" collapsed="false">
      <c r="B259" s="40" t="n">
        <v>252</v>
      </c>
      <c r="C259" s="8" t="n">
        <f aca="false">G258</f>
        <v>409660.657747903</v>
      </c>
      <c r="D259" s="8" t="n">
        <f aca="false">underwriting!D20</f>
        <v>5089.56408812075</v>
      </c>
      <c r="E259" s="8" t="n">
        <f aca="false">C259*underwriting!C15/12</f>
        <v>2389.6871701961</v>
      </c>
      <c r="F259" s="8" t="n">
        <f aca="false">D259-E259</f>
        <v>2699.87691792465</v>
      </c>
      <c r="G259" s="8" t="n">
        <f aca="false">C259-F259</f>
        <v>406960.780829978</v>
      </c>
      <c r="H259" s="8" t="n">
        <f aca="false">H258+F259</f>
        <v>358039.219170022</v>
      </c>
    </row>
    <row r="260" customFormat="false" ht="15" hidden="false" customHeight="false" outlineLevel="0" collapsed="false">
      <c r="B260" s="40" t="n">
        <v>253</v>
      </c>
      <c r="C260" s="8" t="n">
        <f aca="false">G259</f>
        <v>406960.780829978</v>
      </c>
      <c r="D260" s="8" t="n">
        <f aca="false">underwriting!D20</f>
        <v>5089.56408812075</v>
      </c>
      <c r="E260" s="8" t="n">
        <f aca="false">C260*underwriting!C15/12</f>
        <v>2373.93788817487</v>
      </c>
      <c r="F260" s="8" t="n">
        <f aca="false">D260-E260</f>
        <v>2715.62619994587</v>
      </c>
      <c r="G260" s="8" t="n">
        <f aca="false">C260-F260</f>
        <v>404245.154630032</v>
      </c>
      <c r="H260" s="8" t="n">
        <f aca="false">H259+F260</f>
        <v>360754.845369968</v>
      </c>
    </row>
    <row r="261" customFormat="false" ht="15" hidden="false" customHeight="false" outlineLevel="0" collapsed="false">
      <c r="B261" s="40" t="n">
        <v>254</v>
      </c>
      <c r="C261" s="8" t="n">
        <f aca="false">G260</f>
        <v>404245.154630032</v>
      </c>
      <c r="D261" s="8" t="n">
        <f aca="false">underwriting!D20</f>
        <v>5089.56408812075</v>
      </c>
      <c r="E261" s="8" t="n">
        <f aca="false">C261*underwriting!C15/12</f>
        <v>2358.09673534185</v>
      </c>
      <c r="F261" s="8" t="n">
        <f aca="false">D261-E261</f>
        <v>2731.46735277889</v>
      </c>
      <c r="G261" s="8" t="n">
        <f aca="false">C261-F261</f>
        <v>401513.687277253</v>
      </c>
      <c r="H261" s="8" t="n">
        <f aca="false">H260+F261</f>
        <v>363486.312722747</v>
      </c>
    </row>
    <row r="262" customFormat="false" ht="15" hidden="false" customHeight="false" outlineLevel="0" collapsed="false">
      <c r="B262" s="40" t="n">
        <v>255</v>
      </c>
      <c r="C262" s="8" t="n">
        <f aca="false">G261</f>
        <v>401513.687277253</v>
      </c>
      <c r="D262" s="8" t="n">
        <f aca="false">underwriting!D20</f>
        <v>5089.56408812075</v>
      </c>
      <c r="E262" s="8" t="n">
        <f aca="false">C262*underwriting!C15/12</f>
        <v>2342.16317578398</v>
      </c>
      <c r="F262" s="8" t="n">
        <f aca="false">D262-E262</f>
        <v>2747.40091233677</v>
      </c>
      <c r="G262" s="8" t="n">
        <f aca="false">C262-F262</f>
        <v>398766.286364916</v>
      </c>
      <c r="H262" s="8" t="n">
        <f aca="false">H261+F262</f>
        <v>366233.713635084</v>
      </c>
    </row>
    <row r="263" customFormat="false" ht="15" hidden="false" customHeight="false" outlineLevel="0" collapsed="false">
      <c r="B263" s="40" t="n">
        <v>256</v>
      </c>
      <c r="C263" s="8" t="n">
        <f aca="false">G262</f>
        <v>398766.286364916</v>
      </c>
      <c r="D263" s="8" t="n">
        <f aca="false">underwriting!D20</f>
        <v>5089.56408812075</v>
      </c>
      <c r="E263" s="8" t="n">
        <f aca="false">C263*underwriting!C15/12</f>
        <v>2326.13667046201</v>
      </c>
      <c r="F263" s="8" t="n">
        <f aca="false">D263-E263</f>
        <v>2763.42741765873</v>
      </c>
      <c r="G263" s="8" t="n">
        <f aca="false">C263-F263</f>
        <v>396002.858947258</v>
      </c>
      <c r="H263" s="8" t="n">
        <f aca="false">H262+F263</f>
        <v>368997.141052742</v>
      </c>
    </row>
    <row r="264" customFormat="false" ht="15" hidden="false" customHeight="false" outlineLevel="0" collapsed="false">
      <c r="B264" s="40" t="n">
        <v>257</v>
      </c>
      <c r="C264" s="8" t="n">
        <f aca="false">G263</f>
        <v>396002.858947258</v>
      </c>
      <c r="D264" s="8" t="n">
        <f aca="false">underwriting!D20</f>
        <v>5089.56408812075</v>
      </c>
      <c r="E264" s="8" t="n">
        <f aca="false">C264*underwriting!C15/12</f>
        <v>2310.01667719234</v>
      </c>
      <c r="F264" s="8" t="n">
        <f aca="false">D264-E264</f>
        <v>2779.54741092841</v>
      </c>
      <c r="G264" s="8" t="n">
        <f aca="false">C264-F264</f>
        <v>393223.311536329</v>
      </c>
      <c r="H264" s="8" t="n">
        <f aca="false">H263+F264</f>
        <v>371776.688463671</v>
      </c>
    </row>
    <row r="265" customFormat="false" ht="15" hidden="false" customHeight="false" outlineLevel="0" collapsed="false">
      <c r="B265" s="40" t="n">
        <v>258</v>
      </c>
      <c r="C265" s="8" t="n">
        <f aca="false">G264</f>
        <v>393223.311536329</v>
      </c>
      <c r="D265" s="8" t="n">
        <f aca="false">underwriting!D20</f>
        <v>5089.56408812075</v>
      </c>
      <c r="E265" s="8" t="n">
        <f aca="false">C265*underwriting!C15/12</f>
        <v>2293.80265062859</v>
      </c>
      <c r="F265" s="8" t="n">
        <f aca="false">D265-E265</f>
        <v>2795.76143749216</v>
      </c>
      <c r="G265" s="8" t="n">
        <f aca="false">C265-F265</f>
        <v>390427.550098837</v>
      </c>
      <c r="H265" s="8" t="n">
        <f aca="false">H264+F265</f>
        <v>374572.449901163</v>
      </c>
    </row>
    <row r="266" customFormat="false" ht="15" hidden="false" customHeight="false" outlineLevel="0" collapsed="false">
      <c r="B266" s="40" t="n">
        <v>259</v>
      </c>
      <c r="C266" s="8" t="n">
        <f aca="false">G265</f>
        <v>390427.550098837</v>
      </c>
      <c r="D266" s="8" t="n">
        <f aca="false">underwriting!D20</f>
        <v>5089.56408812075</v>
      </c>
      <c r="E266" s="8" t="n">
        <f aca="false">C266*underwriting!C15/12</f>
        <v>2277.49404224322</v>
      </c>
      <c r="F266" s="8" t="n">
        <f aca="false">D266-E266</f>
        <v>2812.07004587753</v>
      </c>
      <c r="G266" s="8" t="n">
        <f aca="false">C266-F266</f>
        <v>387615.48005296</v>
      </c>
      <c r="H266" s="8" t="n">
        <f aca="false">H265+F266</f>
        <v>377384.519947041</v>
      </c>
    </row>
    <row r="267" customFormat="false" ht="15" hidden="false" customHeight="false" outlineLevel="0" collapsed="false">
      <c r="B267" s="40" t="n">
        <v>260</v>
      </c>
      <c r="C267" s="8" t="n">
        <f aca="false">G266</f>
        <v>387615.48005296</v>
      </c>
      <c r="D267" s="8" t="n">
        <f aca="false">underwriting!D20</f>
        <v>5089.56408812075</v>
      </c>
      <c r="E267" s="8" t="n">
        <f aca="false">C267*underwriting!C15/12</f>
        <v>2261.09030030893</v>
      </c>
      <c r="F267" s="8" t="n">
        <f aca="false">D267-E267</f>
        <v>2828.47378781181</v>
      </c>
      <c r="G267" s="8" t="n">
        <f aca="false">C267-F267</f>
        <v>384787.006265148</v>
      </c>
      <c r="H267" s="8" t="n">
        <f aca="false">H266+F267</f>
        <v>380212.993734852</v>
      </c>
    </row>
    <row r="268" customFormat="false" ht="15" hidden="false" customHeight="false" outlineLevel="0" collapsed="false">
      <c r="B268" s="40" t="n">
        <v>261</v>
      </c>
      <c r="C268" s="8" t="n">
        <f aca="false">G267</f>
        <v>384787.006265148</v>
      </c>
      <c r="D268" s="8" t="n">
        <f aca="false">underwriting!D20</f>
        <v>5089.56408812075</v>
      </c>
      <c r="E268" s="8" t="n">
        <f aca="false">C268*underwriting!C15/12</f>
        <v>2244.59086988003</v>
      </c>
      <c r="F268" s="8" t="n">
        <f aca="false">D268-E268</f>
        <v>2844.97321824072</v>
      </c>
      <c r="G268" s="8" t="n">
        <f aca="false">C268-F268</f>
        <v>381942.033046907</v>
      </c>
      <c r="H268" s="8" t="n">
        <f aca="false">H267+F268</f>
        <v>383057.966953093</v>
      </c>
    </row>
    <row r="269" customFormat="false" ht="15" hidden="false" customHeight="false" outlineLevel="0" collapsed="false">
      <c r="B269" s="40" t="n">
        <v>262</v>
      </c>
      <c r="C269" s="8" t="n">
        <f aca="false">G268</f>
        <v>381942.033046907</v>
      </c>
      <c r="D269" s="8" t="n">
        <f aca="false">underwriting!D20</f>
        <v>5089.56408812075</v>
      </c>
      <c r="E269" s="8" t="n">
        <f aca="false">C269*underwriting!C15/12</f>
        <v>2227.99519277362</v>
      </c>
      <c r="F269" s="8" t="n">
        <f aca="false">D269-E269</f>
        <v>2861.56889534712</v>
      </c>
      <c r="G269" s="8" t="n">
        <f aca="false">C269-F269</f>
        <v>379080.46415156</v>
      </c>
      <c r="H269" s="8" t="n">
        <f aca="false">H268+F269</f>
        <v>385919.53584844</v>
      </c>
    </row>
    <row r="270" customFormat="false" ht="15" hidden="false" customHeight="false" outlineLevel="0" collapsed="false">
      <c r="B270" s="40" t="n">
        <v>263</v>
      </c>
      <c r="C270" s="8" t="n">
        <f aca="false">G269</f>
        <v>379080.46415156</v>
      </c>
      <c r="D270" s="8" t="n">
        <f aca="false">underwriting!D20</f>
        <v>5089.56408812075</v>
      </c>
      <c r="E270" s="8" t="n">
        <f aca="false">C270*underwriting!C15/12</f>
        <v>2211.30270755077</v>
      </c>
      <c r="F270" s="8" t="n">
        <f aca="false">D270-E270</f>
        <v>2878.26138056998</v>
      </c>
      <c r="G270" s="8" t="n">
        <f aca="false">C270-F270</f>
        <v>376202.20277099</v>
      </c>
      <c r="H270" s="8" t="n">
        <f aca="false">H269+F270</f>
        <v>388797.79722901</v>
      </c>
    </row>
    <row r="271" customFormat="false" ht="15" hidden="false" customHeight="false" outlineLevel="0" collapsed="false">
      <c r="B271" s="40" t="n">
        <v>264</v>
      </c>
      <c r="C271" s="8" t="n">
        <f aca="false">G270</f>
        <v>376202.20277099</v>
      </c>
      <c r="D271" s="8" t="n">
        <f aca="false">underwriting!D20</f>
        <v>5089.56408812075</v>
      </c>
      <c r="E271" s="8" t="n">
        <f aca="false">C271*underwriting!C15/12</f>
        <v>2194.51284949744</v>
      </c>
      <c r="F271" s="8" t="n">
        <f aca="false">D271-E271</f>
        <v>2895.0512386233</v>
      </c>
      <c r="G271" s="8" t="n">
        <f aca="false">C271-F271</f>
        <v>373307.151532367</v>
      </c>
      <c r="H271" s="8" t="n">
        <f aca="false">H270+F271</f>
        <v>391692.848467633</v>
      </c>
    </row>
    <row r="272" customFormat="false" ht="15" hidden="false" customHeight="false" outlineLevel="0" collapsed="false">
      <c r="B272" s="40" t="n">
        <v>265</v>
      </c>
      <c r="C272" s="8" t="n">
        <f aca="false">G271</f>
        <v>373307.151532367</v>
      </c>
      <c r="D272" s="8" t="n">
        <f aca="false">underwriting!D20</f>
        <v>5089.56408812075</v>
      </c>
      <c r="E272" s="8" t="n">
        <f aca="false">C272*underwriting!C15/12</f>
        <v>2177.62505060547</v>
      </c>
      <c r="F272" s="8" t="n">
        <f aca="false">D272-E272</f>
        <v>2911.93903751527</v>
      </c>
      <c r="G272" s="8" t="n">
        <f aca="false">C272-F272</f>
        <v>370395.212494851</v>
      </c>
      <c r="H272" s="8" t="n">
        <f aca="false">H271+F272</f>
        <v>394604.787505149</v>
      </c>
    </row>
    <row r="273" customFormat="false" ht="15" hidden="false" customHeight="false" outlineLevel="0" collapsed="false">
      <c r="B273" s="40" t="n">
        <v>266</v>
      </c>
      <c r="C273" s="8" t="n">
        <f aca="false">G272</f>
        <v>370395.212494851</v>
      </c>
      <c r="D273" s="8" t="n">
        <f aca="false">underwriting!D20</f>
        <v>5089.56408812075</v>
      </c>
      <c r="E273" s="8" t="n">
        <f aca="false">C273*underwriting!C15/12</f>
        <v>2160.6387395533</v>
      </c>
      <c r="F273" s="8" t="n">
        <f aca="false">D273-E273</f>
        <v>2928.92534856745</v>
      </c>
      <c r="G273" s="8" t="n">
        <f aca="false">C273-F273</f>
        <v>367466.287146284</v>
      </c>
      <c r="H273" s="8" t="n">
        <f aca="false">H272+F273</f>
        <v>397533.712853716</v>
      </c>
    </row>
    <row r="274" customFormat="false" ht="15" hidden="false" customHeight="false" outlineLevel="0" collapsed="false">
      <c r="B274" s="40" t="n">
        <v>267</v>
      </c>
      <c r="C274" s="8" t="n">
        <f aca="false">G273</f>
        <v>367466.287146284</v>
      </c>
      <c r="D274" s="8" t="n">
        <f aca="false">underwriting!D20</f>
        <v>5089.56408812075</v>
      </c>
      <c r="E274" s="8" t="n">
        <f aca="false">C274*underwriting!C15/12</f>
        <v>2143.55334168666</v>
      </c>
      <c r="F274" s="8" t="n">
        <f aca="false">D274-E274</f>
        <v>2946.01074643409</v>
      </c>
      <c r="G274" s="8" t="n">
        <f aca="false">C274-F274</f>
        <v>364520.27639985</v>
      </c>
      <c r="H274" s="8" t="n">
        <f aca="false">H273+F274</f>
        <v>400479.72360015</v>
      </c>
    </row>
    <row r="275" customFormat="false" ht="15" hidden="false" customHeight="false" outlineLevel="0" collapsed="false">
      <c r="B275" s="40" t="n">
        <v>268</v>
      </c>
      <c r="C275" s="8" t="n">
        <f aca="false">G274</f>
        <v>364520.27639985</v>
      </c>
      <c r="D275" s="8" t="n">
        <f aca="false">underwriting!D20</f>
        <v>5089.56408812075</v>
      </c>
      <c r="E275" s="8" t="n">
        <f aca="false">C275*underwriting!C15/12</f>
        <v>2126.36827899912</v>
      </c>
      <c r="F275" s="8" t="n">
        <f aca="false">D275-E275</f>
        <v>2963.19580912162</v>
      </c>
      <c r="G275" s="8" t="n">
        <f aca="false">C275-F275</f>
        <v>361557.080590728</v>
      </c>
      <c r="H275" s="8" t="n">
        <f aca="false">H274+F275</f>
        <v>403442.919409272</v>
      </c>
    </row>
    <row r="276" customFormat="false" ht="15" hidden="false" customHeight="false" outlineLevel="0" collapsed="false">
      <c r="B276" s="40" t="n">
        <v>269</v>
      </c>
      <c r="C276" s="8" t="n">
        <f aca="false">G275</f>
        <v>361557.080590728</v>
      </c>
      <c r="D276" s="8" t="n">
        <f aca="false">underwriting!D20</f>
        <v>5089.56408812075</v>
      </c>
      <c r="E276" s="8" t="n">
        <f aca="false">C276*underwriting!C15/12</f>
        <v>2109.08297011258</v>
      </c>
      <c r="F276" s="8" t="n">
        <f aca="false">D276-E276</f>
        <v>2980.48111800816</v>
      </c>
      <c r="G276" s="8" t="n">
        <f aca="false">C276-F276</f>
        <v>358576.59947272</v>
      </c>
      <c r="H276" s="8" t="n">
        <f aca="false">H275+F276</f>
        <v>406423.40052728</v>
      </c>
    </row>
    <row r="277" customFormat="false" ht="15" hidden="false" customHeight="false" outlineLevel="0" collapsed="false">
      <c r="B277" s="40" t="n">
        <v>270</v>
      </c>
      <c r="C277" s="8" t="n">
        <f aca="false">G276</f>
        <v>358576.59947272</v>
      </c>
      <c r="D277" s="8" t="n">
        <f aca="false">underwriting!D20</f>
        <v>5089.56408812075</v>
      </c>
      <c r="E277" s="8" t="n">
        <f aca="false">C277*underwriting!C15/12</f>
        <v>2091.69683025753</v>
      </c>
      <c r="F277" s="8" t="n">
        <f aca="false">D277-E277</f>
        <v>2997.86725786321</v>
      </c>
      <c r="G277" s="8" t="n">
        <f aca="false">C277-F277</f>
        <v>355578.732214857</v>
      </c>
      <c r="H277" s="8" t="n">
        <f aca="false">H276+F277</f>
        <v>409421.267785143</v>
      </c>
    </row>
    <row r="278" customFormat="false" ht="15" hidden="false" customHeight="false" outlineLevel="0" collapsed="false">
      <c r="B278" s="40" t="n">
        <v>271</v>
      </c>
      <c r="C278" s="8" t="n">
        <f aca="false">G277</f>
        <v>355578.732214857</v>
      </c>
      <c r="D278" s="8" t="n">
        <f aca="false">underwriting!D20</f>
        <v>5089.56408812075</v>
      </c>
      <c r="E278" s="8" t="n">
        <f aca="false">C278*underwriting!C15/12</f>
        <v>2074.20927125333</v>
      </c>
      <c r="F278" s="8" t="n">
        <f aca="false">D278-E278</f>
        <v>3015.35481686741</v>
      </c>
      <c r="G278" s="8" t="n">
        <f aca="false">C278-F278</f>
        <v>352563.377397989</v>
      </c>
      <c r="H278" s="8" t="n">
        <f aca="false">H277+F278</f>
        <v>412436.622602011</v>
      </c>
    </row>
    <row r="279" customFormat="false" ht="15" hidden="false" customHeight="false" outlineLevel="0" collapsed="false">
      <c r="B279" s="40" t="n">
        <v>272</v>
      </c>
      <c r="C279" s="8" t="n">
        <f aca="false">G278</f>
        <v>352563.377397989</v>
      </c>
      <c r="D279" s="8" t="n">
        <f aca="false">underwriting!D20</f>
        <v>5089.56408812075</v>
      </c>
      <c r="E279" s="8" t="n">
        <f aca="false">C279*underwriting!C15/12</f>
        <v>2056.61970148827</v>
      </c>
      <c r="F279" s="8" t="n">
        <f aca="false">D279-E279</f>
        <v>3032.94438663247</v>
      </c>
      <c r="G279" s="8" t="n">
        <f aca="false">C279-F279</f>
        <v>349530.433011357</v>
      </c>
      <c r="H279" s="8" t="n">
        <f aca="false">H278+F279</f>
        <v>415469.566988643</v>
      </c>
    </row>
    <row r="280" customFormat="false" ht="15" hidden="false" customHeight="false" outlineLevel="0" collapsed="false">
      <c r="B280" s="40" t="n">
        <v>273</v>
      </c>
      <c r="C280" s="8" t="n">
        <f aca="false">G279</f>
        <v>349530.433011357</v>
      </c>
      <c r="D280" s="8" t="n">
        <f aca="false">underwriting!D20</f>
        <v>5089.56408812075</v>
      </c>
      <c r="E280" s="8" t="n">
        <f aca="false">C280*underwriting!C15/12</f>
        <v>2038.92752589958</v>
      </c>
      <c r="F280" s="8" t="n">
        <f aca="false">D280-E280</f>
        <v>3050.63656222116</v>
      </c>
      <c r="G280" s="8" t="n">
        <f aca="false">C280-F280</f>
        <v>346479.796449136</v>
      </c>
      <c r="H280" s="8" t="n">
        <f aca="false">H279+F280</f>
        <v>418520.203550864</v>
      </c>
    </row>
    <row r="281" customFormat="false" ht="15" hidden="false" customHeight="false" outlineLevel="0" collapsed="false">
      <c r="B281" s="40" t="n">
        <v>274</v>
      </c>
      <c r="C281" s="8" t="n">
        <f aca="false">G280</f>
        <v>346479.796449136</v>
      </c>
      <c r="D281" s="8" t="n">
        <f aca="false">underwriting!D20</f>
        <v>5089.56408812075</v>
      </c>
      <c r="E281" s="8" t="n">
        <f aca="false">C281*underwriting!C15/12</f>
        <v>2021.13214595329</v>
      </c>
      <c r="F281" s="8" t="n">
        <f aca="false">D281-E281</f>
        <v>3068.43194216745</v>
      </c>
      <c r="G281" s="8" t="n">
        <f aca="false">C281-F281</f>
        <v>343411.364506968</v>
      </c>
      <c r="H281" s="8" t="n">
        <f aca="false">H280+F281</f>
        <v>421588.635493032</v>
      </c>
    </row>
    <row r="282" customFormat="false" ht="15" hidden="false" customHeight="false" outlineLevel="0" collapsed="false">
      <c r="B282" s="40" t="n">
        <v>275</v>
      </c>
      <c r="C282" s="8" t="n">
        <f aca="false">G281</f>
        <v>343411.364506968</v>
      </c>
      <c r="D282" s="8" t="n">
        <f aca="false">underwriting!D20</f>
        <v>5089.56408812075</v>
      </c>
      <c r="E282" s="8" t="n">
        <f aca="false">C282*underwriting!C15/12</f>
        <v>2003.23295962398</v>
      </c>
      <c r="F282" s="8" t="n">
        <f aca="false">D282-E282</f>
        <v>3086.33112849676</v>
      </c>
      <c r="G282" s="8" t="n">
        <f aca="false">C282-F282</f>
        <v>340325.033378472</v>
      </c>
      <c r="H282" s="8" t="n">
        <f aca="false">H281+F282</f>
        <v>424674.966621528</v>
      </c>
    </row>
    <row r="283" customFormat="false" ht="15" hidden="false" customHeight="false" outlineLevel="0" collapsed="false">
      <c r="B283" s="40" t="n">
        <v>276</v>
      </c>
      <c r="C283" s="8" t="n">
        <f aca="false">G282</f>
        <v>340325.033378472</v>
      </c>
      <c r="D283" s="8" t="n">
        <f aca="false">underwriting!D20</f>
        <v>5089.56408812075</v>
      </c>
      <c r="E283" s="8" t="n">
        <f aca="false">C283*underwriting!C15/12</f>
        <v>1985.22936137442</v>
      </c>
      <c r="F283" s="8" t="n">
        <f aca="false">D283-E283</f>
        <v>3104.33472674633</v>
      </c>
      <c r="G283" s="8" t="n">
        <f aca="false">C283-F283</f>
        <v>337220.698651725</v>
      </c>
      <c r="H283" s="8" t="n">
        <f aca="false">H282+F283</f>
        <v>427779.301348275</v>
      </c>
    </row>
    <row r="284" customFormat="false" ht="15" hidden="false" customHeight="false" outlineLevel="0" collapsed="false">
      <c r="B284" s="40" t="n">
        <v>277</v>
      </c>
      <c r="C284" s="8" t="n">
        <f aca="false">G283</f>
        <v>337220.698651725</v>
      </c>
      <c r="D284" s="8" t="n">
        <f aca="false">underwriting!D20</f>
        <v>5089.56408812075</v>
      </c>
      <c r="E284" s="8" t="n">
        <f aca="false">C284*underwriting!C15/12</f>
        <v>1967.12074213506</v>
      </c>
      <c r="F284" s="8" t="n">
        <f aca="false">D284-E284</f>
        <v>3122.44334598568</v>
      </c>
      <c r="G284" s="8" t="n">
        <f aca="false">C284-F284</f>
        <v>334098.25530574</v>
      </c>
      <c r="H284" s="8" t="n">
        <f aca="false">H283+F284</f>
        <v>430901.74469426</v>
      </c>
    </row>
    <row r="285" customFormat="false" ht="15" hidden="false" customHeight="false" outlineLevel="0" collapsed="false">
      <c r="B285" s="40" t="n">
        <v>278</v>
      </c>
      <c r="C285" s="8" t="n">
        <f aca="false">G284</f>
        <v>334098.25530574</v>
      </c>
      <c r="D285" s="8" t="n">
        <f aca="false">underwriting!D20</f>
        <v>5089.56408812075</v>
      </c>
      <c r="E285" s="8" t="n">
        <f aca="false">C285*underwriting!C15/12</f>
        <v>1948.90648928348</v>
      </c>
      <c r="F285" s="8" t="n">
        <f aca="false">D285-E285</f>
        <v>3140.65759883726</v>
      </c>
      <c r="G285" s="8" t="n">
        <f aca="false">C285-F285</f>
        <v>330957.597706902</v>
      </c>
      <c r="H285" s="8" t="n">
        <f aca="false">H284+F285</f>
        <v>434042.402293098</v>
      </c>
    </row>
    <row r="286" customFormat="false" ht="15" hidden="false" customHeight="false" outlineLevel="0" collapsed="false">
      <c r="B286" s="40" t="n">
        <v>279</v>
      </c>
      <c r="C286" s="8" t="n">
        <f aca="false">G285</f>
        <v>330957.597706902</v>
      </c>
      <c r="D286" s="8" t="n">
        <f aca="false">underwriting!D20</f>
        <v>5089.56408812075</v>
      </c>
      <c r="E286" s="8" t="n">
        <f aca="false">C286*underwriting!C15/12</f>
        <v>1930.5859866236</v>
      </c>
      <c r="F286" s="8" t="n">
        <f aca="false">D286-E286</f>
        <v>3158.97810149715</v>
      </c>
      <c r="G286" s="8" t="n">
        <f aca="false">C286-F286</f>
        <v>327798.619605405</v>
      </c>
      <c r="H286" s="8" t="n">
        <f aca="false">H285+F286</f>
        <v>437201.380394595</v>
      </c>
    </row>
    <row r="287" customFormat="false" ht="15" hidden="false" customHeight="false" outlineLevel="0" collapsed="false">
      <c r="B287" s="40" t="n">
        <v>280</v>
      </c>
      <c r="C287" s="8" t="n">
        <f aca="false">G286</f>
        <v>327798.619605405</v>
      </c>
      <c r="D287" s="8" t="n">
        <f aca="false">underwriting!D20</f>
        <v>5089.56408812075</v>
      </c>
      <c r="E287" s="8" t="n">
        <f aca="false">C287*underwriting!C15/12</f>
        <v>1912.15861436486</v>
      </c>
      <c r="F287" s="8" t="n">
        <f aca="false">D287-E287</f>
        <v>3177.40547375588</v>
      </c>
      <c r="G287" s="8" t="n">
        <f aca="false">C287-F287</f>
        <v>324621.214131649</v>
      </c>
      <c r="H287" s="8" t="n">
        <f aca="false">H286+F287</f>
        <v>440378.785868351</v>
      </c>
    </row>
    <row r="288" customFormat="false" ht="15" hidden="false" customHeight="false" outlineLevel="0" collapsed="false">
      <c r="B288" s="40" t="n">
        <v>281</v>
      </c>
      <c r="C288" s="8" t="n">
        <f aca="false">G287</f>
        <v>324621.214131649</v>
      </c>
      <c r="D288" s="8" t="n">
        <f aca="false">underwriting!D20</f>
        <v>5089.56408812075</v>
      </c>
      <c r="E288" s="8" t="n">
        <f aca="false">C288*underwriting!C15/12</f>
        <v>1893.62374910129</v>
      </c>
      <c r="F288" s="8" t="n">
        <f aca="false">D288-E288</f>
        <v>3195.94033901946</v>
      </c>
      <c r="G288" s="8" t="n">
        <f aca="false">C288-F288</f>
        <v>321425.27379263</v>
      </c>
      <c r="H288" s="8" t="n">
        <f aca="false">H287+F288</f>
        <v>443574.72620737</v>
      </c>
    </row>
    <row r="289" customFormat="false" ht="15" hidden="false" customHeight="false" outlineLevel="0" collapsed="false">
      <c r="B289" s="40" t="n">
        <v>282</v>
      </c>
      <c r="C289" s="8" t="n">
        <f aca="false">G288</f>
        <v>321425.27379263</v>
      </c>
      <c r="D289" s="8" t="n">
        <f aca="false">underwriting!D20</f>
        <v>5089.56408812075</v>
      </c>
      <c r="E289" s="8" t="n">
        <f aca="false">C289*underwriting!C15/12</f>
        <v>1874.98076379034</v>
      </c>
      <c r="F289" s="8" t="n">
        <f aca="false">D289-E289</f>
        <v>3214.5833243304</v>
      </c>
      <c r="G289" s="8" t="n">
        <f aca="false">C289-F289</f>
        <v>318210.690468299</v>
      </c>
      <c r="H289" s="8" t="n">
        <f aca="false">H288+F289</f>
        <v>446789.309531701</v>
      </c>
    </row>
    <row r="290" customFormat="false" ht="15" hidden="false" customHeight="false" outlineLevel="0" collapsed="false">
      <c r="B290" s="40" t="n">
        <v>283</v>
      </c>
      <c r="C290" s="8" t="n">
        <f aca="false">G289</f>
        <v>318210.690468299</v>
      </c>
      <c r="D290" s="8" t="n">
        <f aca="false">underwriting!D20</f>
        <v>5089.56408812075</v>
      </c>
      <c r="E290" s="8" t="n">
        <f aca="false">C290*underwriting!C15/12</f>
        <v>1856.22902773175</v>
      </c>
      <c r="F290" s="8" t="n">
        <f aca="false">D290-E290</f>
        <v>3233.335060389</v>
      </c>
      <c r="G290" s="8" t="n">
        <f aca="false">C290-F290</f>
        <v>314977.35540791</v>
      </c>
      <c r="H290" s="8" t="n">
        <f aca="false">H289+F290</f>
        <v>450022.64459209</v>
      </c>
    </row>
    <row r="291" customFormat="false" ht="15" hidden="false" customHeight="false" outlineLevel="0" collapsed="false">
      <c r="B291" s="40" t="n">
        <v>284</v>
      </c>
      <c r="C291" s="8" t="n">
        <f aca="false">G290</f>
        <v>314977.35540791</v>
      </c>
      <c r="D291" s="8" t="n">
        <f aca="false">underwriting!D20</f>
        <v>5089.56408812075</v>
      </c>
      <c r="E291" s="8" t="n">
        <f aca="false">C291*underwriting!C15/12</f>
        <v>1837.36790654614</v>
      </c>
      <c r="F291" s="8" t="n">
        <f aca="false">D291-E291</f>
        <v>3252.1961815746</v>
      </c>
      <c r="G291" s="8" t="n">
        <f aca="false">C291-F291</f>
        <v>311725.159226336</v>
      </c>
      <c r="H291" s="8" t="n">
        <f aca="false">H290+F291</f>
        <v>453274.840773664</v>
      </c>
    </row>
    <row r="292" customFormat="false" ht="15" hidden="false" customHeight="false" outlineLevel="0" collapsed="false">
      <c r="B292" s="40" t="n">
        <v>285</v>
      </c>
      <c r="C292" s="8" t="n">
        <f aca="false">G291</f>
        <v>311725.159226336</v>
      </c>
      <c r="D292" s="8" t="n">
        <f aca="false">underwriting!D20</f>
        <v>5089.56408812075</v>
      </c>
      <c r="E292" s="8" t="n">
        <f aca="false">C292*underwriting!C15/12</f>
        <v>1818.39676215363</v>
      </c>
      <c r="F292" s="8" t="n">
        <f aca="false">D292-E292</f>
        <v>3271.16732596712</v>
      </c>
      <c r="G292" s="8" t="n">
        <f aca="false">C292-F292</f>
        <v>308453.991900369</v>
      </c>
      <c r="H292" s="8" t="n">
        <f aca="false">H291+F292</f>
        <v>456546.008099631</v>
      </c>
    </row>
    <row r="293" customFormat="false" ht="15" hidden="false" customHeight="false" outlineLevel="0" collapsed="false">
      <c r="B293" s="40" t="n">
        <v>286</v>
      </c>
      <c r="C293" s="8" t="n">
        <f aca="false">G292</f>
        <v>308453.991900369</v>
      </c>
      <c r="D293" s="8" t="n">
        <f aca="false">underwriting!D20</f>
        <v>5089.56408812075</v>
      </c>
      <c r="E293" s="8" t="n">
        <f aca="false">C293*underwriting!C15/12</f>
        <v>1799.31495275215</v>
      </c>
      <c r="F293" s="8" t="n">
        <f aca="false">D293-E293</f>
        <v>3290.24913536859</v>
      </c>
      <c r="G293" s="8" t="n">
        <f aca="false">C293-F293</f>
        <v>305163.742765</v>
      </c>
      <c r="H293" s="8" t="n">
        <f aca="false">H292+F293</f>
        <v>459836.257235</v>
      </c>
    </row>
    <row r="294" customFormat="false" ht="15" hidden="false" customHeight="false" outlineLevel="0" collapsed="false">
      <c r="B294" s="40" t="n">
        <v>287</v>
      </c>
      <c r="C294" s="8" t="n">
        <f aca="false">G293</f>
        <v>305163.742765</v>
      </c>
      <c r="D294" s="8" t="n">
        <f aca="false">underwriting!D20</f>
        <v>5089.56408812075</v>
      </c>
      <c r="E294" s="8" t="n">
        <f aca="false">C294*underwriting!C15/12</f>
        <v>1780.12183279583</v>
      </c>
      <c r="F294" s="8" t="n">
        <f aca="false">D294-E294</f>
        <v>3309.44225532491</v>
      </c>
      <c r="G294" s="8" t="n">
        <f aca="false">C294-F294</f>
        <v>301854.300509675</v>
      </c>
      <c r="H294" s="8" t="n">
        <f aca="false">H293+F294</f>
        <v>463145.699490325</v>
      </c>
    </row>
    <row r="295" customFormat="false" ht="15" hidden="false" customHeight="false" outlineLevel="0" collapsed="false">
      <c r="B295" s="40" t="n">
        <v>288</v>
      </c>
      <c r="C295" s="8" t="n">
        <f aca="false">G294</f>
        <v>301854.300509675</v>
      </c>
      <c r="D295" s="8" t="n">
        <f aca="false">underwriting!D20</f>
        <v>5089.56408812075</v>
      </c>
      <c r="E295" s="8" t="n">
        <f aca="false">C295*underwriting!C15/12</f>
        <v>1760.81675297311</v>
      </c>
      <c r="F295" s="8" t="n">
        <f aca="false">D295-E295</f>
        <v>3328.74733514764</v>
      </c>
      <c r="G295" s="8" t="n">
        <f aca="false">C295-F295</f>
        <v>298525.553174528</v>
      </c>
      <c r="H295" s="8" t="n">
        <f aca="false">H294+F295</f>
        <v>466474.446825472</v>
      </c>
    </row>
    <row r="296" customFormat="false" ht="15" hidden="false" customHeight="false" outlineLevel="0" collapsed="false">
      <c r="B296" s="40" t="n">
        <v>289</v>
      </c>
      <c r="C296" s="8" t="n">
        <f aca="false">G295</f>
        <v>298525.553174528</v>
      </c>
      <c r="D296" s="8" t="n">
        <f aca="false">underwriting!D20</f>
        <v>5089.56408812075</v>
      </c>
      <c r="E296" s="8" t="n">
        <f aca="false">C296*underwriting!C15/12</f>
        <v>1741.39906018474</v>
      </c>
      <c r="F296" s="8" t="n">
        <f aca="false">D296-E296</f>
        <v>3348.165027936</v>
      </c>
      <c r="G296" s="8" t="n">
        <f aca="false">C296-F296</f>
        <v>295177.388146592</v>
      </c>
      <c r="H296" s="8" t="n">
        <f aca="false">H295+F296</f>
        <v>469822.611853408</v>
      </c>
    </row>
    <row r="297" customFormat="false" ht="15" hidden="false" customHeight="false" outlineLevel="0" collapsed="false">
      <c r="B297" s="40" t="n">
        <v>290</v>
      </c>
      <c r="C297" s="8" t="n">
        <f aca="false">G296</f>
        <v>295177.388146592</v>
      </c>
      <c r="D297" s="8" t="n">
        <f aca="false">underwriting!D20</f>
        <v>5089.56408812075</v>
      </c>
      <c r="E297" s="8" t="n">
        <f aca="false">C297*underwriting!C15/12</f>
        <v>1721.86809752178</v>
      </c>
      <c r="F297" s="8" t="n">
        <f aca="false">D297-E297</f>
        <v>3367.69599059896</v>
      </c>
      <c r="G297" s="8" t="n">
        <f aca="false">C297-F297</f>
        <v>291809.692155993</v>
      </c>
      <c r="H297" s="8" t="n">
        <f aca="false">H296+F297</f>
        <v>473190.307844007</v>
      </c>
    </row>
    <row r="298" customFormat="false" ht="15" hidden="false" customHeight="false" outlineLevel="0" collapsed="false">
      <c r="B298" s="40" t="n">
        <v>291</v>
      </c>
      <c r="C298" s="8" t="n">
        <f aca="false">G297</f>
        <v>291809.692155993</v>
      </c>
      <c r="D298" s="8" t="n">
        <f aca="false">underwriting!D20</f>
        <v>5089.56408812075</v>
      </c>
      <c r="E298" s="8" t="n">
        <f aca="false">C298*underwriting!C15/12</f>
        <v>1702.22320424329</v>
      </c>
      <c r="F298" s="8" t="n">
        <f aca="false">D298-E298</f>
        <v>3387.34088387745</v>
      </c>
      <c r="G298" s="8" t="n">
        <f aca="false">C298-F298</f>
        <v>288422.351272115</v>
      </c>
      <c r="H298" s="8" t="n">
        <f aca="false">H297+F298</f>
        <v>476577.648727885</v>
      </c>
    </row>
    <row r="299" customFormat="false" ht="15" hidden="false" customHeight="false" outlineLevel="0" collapsed="false">
      <c r="B299" s="40" t="n">
        <v>292</v>
      </c>
      <c r="C299" s="8" t="n">
        <f aca="false">G298</f>
        <v>288422.351272115</v>
      </c>
      <c r="D299" s="8" t="n">
        <f aca="false">underwriting!D20</f>
        <v>5089.56408812075</v>
      </c>
      <c r="E299" s="8" t="n">
        <f aca="false">C299*underwriting!C15/12</f>
        <v>1682.46371575401</v>
      </c>
      <c r="F299" s="8" t="n">
        <f aca="false">D299-E299</f>
        <v>3407.10037236674</v>
      </c>
      <c r="G299" s="8" t="n">
        <f aca="false">C299-F299</f>
        <v>285015.250899748</v>
      </c>
      <c r="H299" s="8" t="n">
        <f aca="false">H298+F299</f>
        <v>479984.749100252</v>
      </c>
    </row>
    <row r="300" customFormat="false" ht="15" hidden="false" customHeight="false" outlineLevel="0" collapsed="false">
      <c r="B300" s="40" t="n">
        <v>293</v>
      </c>
      <c r="C300" s="8" t="n">
        <f aca="false">G299</f>
        <v>285015.250899748</v>
      </c>
      <c r="D300" s="8" t="n">
        <f aca="false">underwriting!D20</f>
        <v>5089.56408812075</v>
      </c>
      <c r="E300" s="8" t="n">
        <f aca="false">C300*underwriting!C15/12</f>
        <v>1662.58896358187</v>
      </c>
      <c r="F300" s="8" t="n">
        <f aca="false">D300-E300</f>
        <v>3426.97512453888</v>
      </c>
      <c r="G300" s="8" t="n">
        <f aca="false">C300-F300</f>
        <v>281588.27577521</v>
      </c>
      <c r="H300" s="8" t="n">
        <f aca="false">H299+F300</f>
        <v>483411.72422479</v>
      </c>
    </row>
    <row r="301" customFormat="false" ht="15" hidden="false" customHeight="false" outlineLevel="0" collapsed="false">
      <c r="B301" s="40" t="n">
        <v>294</v>
      </c>
      <c r="C301" s="8" t="n">
        <f aca="false">G300</f>
        <v>281588.27577521</v>
      </c>
      <c r="D301" s="8" t="n">
        <f aca="false">underwriting!D20</f>
        <v>5089.56408812075</v>
      </c>
      <c r="E301" s="8" t="n">
        <f aca="false">C301*underwriting!C15/12</f>
        <v>1642.59827535539</v>
      </c>
      <c r="F301" s="8" t="n">
        <f aca="false">D301-E301</f>
        <v>3446.96581276536</v>
      </c>
      <c r="G301" s="8" t="n">
        <f aca="false">C301-F301</f>
        <v>278141.309962444</v>
      </c>
      <c r="H301" s="8" t="n">
        <f aca="false">H300+F301</f>
        <v>486858.690037556</v>
      </c>
    </row>
    <row r="302" customFormat="false" ht="15" hidden="false" customHeight="false" outlineLevel="0" collapsed="false">
      <c r="B302" s="40" t="n">
        <v>295</v>
      </c>
      <c r="C302" s="8" t="n">
        <f aca="false">G301</f>
        <v>278141.309962444</v>
      </c>
      <c r="D302" s="8" t="n">
        <f aca="false">underwriting!D20</f>
        <v>5089.56408812075</v>
      </c>
      <c r="E302" s="8" t="n">
        <f aca="false">C302*underwriting!C15/12</f>
        <v>1622.49097478092</v>
      </c>
      <c r="F302" s="8" t="n">
        <f aca="false">D302-E302</f>
        <v>3467.07311333982</v>
      </c>
      <c r="G302" s="8" t="n">
        <f aca="false">C302-F302</f>
        <v>274674.236849104</v>
      </c>
      <c r="H302" s="8" t="n">
        <f aca="false">H301+F302</f>
        <v>490325.763150896</v>
      </c>
    </row>
    <row r="303" customFormat="false" ht="15" hidden="false" customHeight="false" outlineLevel="0" collapsed="false">
      <c r="B303" s="40" t="n">
        <v>296</v>
      </c>
      <c r="C303" s="8" t="n">
        <f aca="false">G302</f>
        <v>274674.236849104</v>
      </c>
      <c r="D303" s="8" t="n">
        <f aca="false">underwriting!D20</f>
        <v>5089.56408812075</v>
      </c>
      <c r="E303" s="8" t="n">
        <f aca="false">C303*underwriting!C15/12</f>
        <v>1602.26638161978</v>
      </c>
      <c r="F303" s="8" t="n">
        <f aca="false">D303-E303</f>
        <v>3487.29770650097</v>
      </c>
      <c r="G303" s="8" t="n">
        <f aca="false">C303-F303</f>
        <v>271186.939142603</v>
      </c>
      <c r="H303" s="8" t="n">
        <f aca="false">H302+F303</f>
        <v>493813.060857397</v>
      </c>
    </row>
    <row r="304" customFormat="false" ht="15" hidden="false" customHeight="false" outlineLevel="0" collapsed="false">
      <c r="B304" s="40" t="n">
        <v>297</v>
      </c>
      <c r="C304" s="8" t="n">
        <f aca="false">G303</f>
        <v>271186.939142603</v>
      </c>
      <c r="D304" s="8" t="n">
        <f aca="false">underwriting!D20</f>
        <v>5089.56408812075</v>
      </c>
      <c r="E304" s="8" t="n">
        <f aca="false">C304*underwriting!C15/12</f>
        <v>1581.92381166519</v>
      </c>
      <c r="F304" s="8" t="n">
        <f aca="false">D304-E304</f>
        <v>3507.64027645556</v>
      </c>
      <c r="G304" s="8" t="n">
        <f aca="false">C304-F304</f>
        <v>267679.298866148</v>
      </c>
      <c r="H304" s="8" t="n">
        <f aca="false">H303+F304</f>
        <v>497320.701133852</v>
      </c>
    </row>
    <row r="305" customFormat="false" ht="15" hidden="false" customHeight="false" outlineLevel="0" collapsed="false">
      <c r="B305" s="40" t="n">
        <v>298</v>
      </c>
      <c r="C305" s="8" t="n">
        <f aca="false">G304</f>
        <v>267679.298866148</v>
      </c>
      <c r="D305" s="8" t="n">
        <f aca="false">underwriting!D20</f>
        <v>5089.56408812075</v>
      </c>
      <c r="E305" s="8" t="n">
        <f aca="false">C305*underwriting!C15/12</f>
        <v>1561.4625767192</v>
      </c>
      <c r="F305" s="8" t="n">
        <f aca="false">D305-E305</f>
        <v>3528.10151140155</v>
      </c>
      <c r="G305" s="8" t="n">
        <f aca="false">C305-F305</f>
        <v>264151.197354746</v>
      </c>
      <c r="H305" s="8" t="n">
        <f aca="false">H304+F305</f>
        <v>500848.802645254</v>
      </c>
    </row>
    <row r="306" customFormat="false" ht="15" hidden="false" customHeight="false" outlineLevel="0" collapsed="false">
      <c r="B306" s="40" t="n">
        <v>299</v>
      </c>
      <c r="C306" s="8" t="n">
        <f aca="false">G305</f>
        <v>264151.197354746</v>
      </c>
      <c r="D306" s="8" t="n">
        <f aca="false">underwriting!D20</f>
        <v>5089.56408812075</v>
      </c>
      <c r="E306" s="8" t="n">
        <f aca="false">C306*underwriting!C15/12</f>
        <v>1540.88198456935</v>
      </c>
      <c r="F306" s="8" t="n">
        <f aca="false">D306-E306</f>
        <v>3548.68210355139</v>
      </c>
      <c r="G306" s="8" t="n">
        <f aca="false">C306-F306</f>
        <v>260602.515251195</v>
      </c>
      <c r="H306" s="8" t="n">
        <f aca="false">H305+F306</f>
        <v>504397.484748805</v>
      </c>
    </row>
    <row r="307" customFormat="false" ht="15" hidden="false" customHeight="false" outlineLevel="0" collapsed="false">
      <c r="B307" s="40" t="n">
        <v>300</v>
      </c>
      <c r="C307" s="8" t="n">
        <f aca="false">G306</f>
        <v>260602.515251195</v>
      </c>
      <c r="D307" s="8" t="n">
        <f aca="false">underwriting!D20</f>
        <v>5089.56408812075</v>
      </c>
      <c r="E307" s="8" t="n">
        <f aca="false">C307*underwriting!C15/12</f>
        <v>1520.1813389653</v>
      </c>
      <c r="F307" s="8" t="n">
        <f aca="false">D307-E307</f>
        <v>3569.38274915544</v>
      </c>
      <c r="G307" s="8" t="n">
        <f aca="false">C307-F307</f>
        <v>257033.132502039</v>
      </c>
      <c r="H307" s="8" t="n">
        <f aca="false">H306+F307</f>
        <v>507966.867497961</v>
      </c>
    </row>
    <row r="308" customFormat="false" ht="15" hidden="false" customHeight="false" outlineLevel="0" collapsed="false">
      <c r="B308" s="40" t="n">
        <v>301</v>
      </c>
      <c r="C308" s="8" t="n">
        <f aca="false">G307</f>
        <v>257033.132502039</v>
      </c>
      <c r="D308" s="8" t="n">
        <f aca="false">underwriting!D20</f>
        <v>5089.56408812075</v>
      </c>
      <c r="E308" s="8" t="n">
        <f aca="false">C308*underwriting!C15/12</f>
        <v>1499.35993959523</v>
      </c>
      <c r="F308" s="8" t="n">
        <f aca="false">D308-E308</f>
        <v>3590.20414852551</v>
      </c>
      <c r="G308" s="8" t="n">
        <f aca="false">C308-F308</f>
        <v>253442.928353514</v>
      </c>
      <c r="H308" s="8" t="n">
        <f aca="false">H307+F308</f>
        <v>511557.071646486</v>
      </c>
    </row>
    <row r="309" customFormat="false" ht="15" hidden="false" customHeight="false" outlineLevel="0" collapsed="false">
      <c r="B309" s="40" t="n">
        <v>302</v>
      </c>
      <c r="C309" s="8" t="n">
        <f aca="false">G308</f>
        <v>253442.928353514</v>
      </c>
      <c r="D309" s="8" t="n">
        <f aca="false">underwriting!D20</f>
        <v>5089.56408812075</v>
      </c>
      <c r="E309" s="8" t="n">
        <f aca="false">C309*underwriting!C15/12</f>
        <v>1478.41708206216</v>
      </c>
      <c r="F309" s="8" t="n">
        <f aca="false">D309-E309</f>
        <v>3611.14700605858</v>
      </c>
      <c r="G309" s="8" t="n">
        <f aca="false">C309-F309</f>
        <v>249831.781347455</v>
      </c>
      <c r="H309" s="8" t="n">
        <f aca="false">H308+F309</f>
        <v>515168.218652545</v>
      </c>
    </row>
    <row r="310" customFormat="false" ht="15" hidden="false" customHeight="false" outlineLevel="0" collapsed="false">
      <c r="B310" s="40" t="n">
        <v>303</v>
      </c>
      <c r="C310" s="8" t="n">
        <f aca="false">G309</f>
        <v>249831.781347455</v>
      </c>
      <c r="D310" s="8" t="n">
        <f aca="false">underwriting!D20</f>
        <v>5089.56408812075</v>
      </c>
      <c r="E310" s="8" t="n">
        <f aca="false">C310*underwriting!C15/12</f>
        <v>1457.35205786016</v>
      </c>
      <c r="F310" s="8" t="n">
        <f aca="false">D310-E310</f>
        <v>3632.21203026059</v>
      </c>
      <c r="G310" s="8" t="n">
        <f aca="false">C310-F310</f>
        <v>246199.569317195</v>
      </c>
      <c r="H310" s="8" t="n">
        <f aca="false">H309+F310</f>
        <v>518800.430682805</v>
      </c>
    </row>
    <row r="311" customFormat="false" ht="15" hidden="false" customHeight="false" outlineLevel="0" collapsed="false">
      <c r="B311" s="40" t="n">
        <v>304</v>
      </c>
      <c r="C311" s="8" t="n">
        <f aca="false">G310</f>
        <v>246199.569317195</v>
      </c>
      <c r="D311" s="8" t="n">
        <f aca="false">underwriting!D20</f>
        <v>5089.56408812075</v>
      </c>
      <c r="E311" s="8" t="n">
        <f aca="false">C311*underwriting!C15/12</f>
        <v>1436.1641543503</v>
      </c>
      <c r="F311" s="8" t="n">
        <f aca="false">D311-E311</f>
        <v>3653.39993377044</v>
      </c>
      <c r="G311" s="8" t="n">
        <f aca="false">C311-F311</f>
        <v>242546.169383424</v>
      </c>
      <c r="H311" s="8" t="n">
        <f aca="false">H310+F311</f>
        <v>522453.830616576</v>
      </c>
    </row>
    <row r="312" customFormat="false" ht="15" hidden="false" customHeight="false" outlineLevel="0" collapsed="false">
      <c r="B312" s="40" t="n">
        <v>305</v>
      </c>
      <c r="C312" s="8" t="n">
        <f aca="false">G311</f>
        <v>242546.169383424</v>
      </c>
      <c r="D312" s="8" t="n">
        <f aca="false">underwriting!D20</f>
        <v>5089.56408812075</v>
      </c>
      <c r="E312" s="8" t="n">
        <f aca="false">C312*underwriting!C15/12</f>
        <v>1414.85265473664</v>
      </c>
      <c r="F312" s="8" t="n">
        <f aca="false">D312-E312</f>
        <v>3674.7114333841</v>
      </c>
      <c r="G312" s="8" t="n">
        <f aca="false">C312-F312</f>
        <v>238871.45795004</v>
      </c>
      <c r="H312" s="8" t="n">
        <f aca="false">H311+F312</f>
        <v>526128.54204996</v>
      </c>
    </row>
    <row r="313" customFormat="false" ht="15" hidden="false" customHeight="false" outlineLevel="0" collapsed="false">
      <c r="B313" s="40" t="n">
        <v>306</v>
      </c>
      <c r="C313" s="8" t="n">
        <f aca="false">G312</f>
        <v>238871.45795004</v>
      </c>
      <c r="D313" s="8" t="n">
        <f aca="false">underwriting!D20</f>
        <v>5089.56408812075</v>
      </c>
      <c r="E313" s="8" t="n">
        <f aca="false">C313*underwriting!C15/12</f>
        <v>1393.4168380419</v>
      </c>
      <c r="F313" s="8" t="n">
        <f aca="false">D313-E313</f>
        <v>3696.14725007884</v>
      </c>
      <c r="G313" s="8" t="n">
        <f aca="false">C313-F313</f>
        <v>235175.310699961</v>
      </c>
      <c r="H313" s="8" t="n">
        <f aca="false">H312+F313</f>
        <v>529824.689300039</v>
      </c>
    </row>
    <row r="314" customFormat="false" ht="15" hidden="false" customHeight="false" outlineLevel="0" collapsed="false">
      <c r="B314" s="40" t="n">
        <v>307</v>
      </c>
      <c r="C314" s="8" t="n">
        <f aca="false">G313</f>
        <v>235175.310699961</v>
      </c>
      <c r="D314" s="8" t="n">
        <f aca="false">underwriting!D20</f>
        <v>5089.56408812075</v>
      </c>
      <c r="E314" s="8" t="n">
        <f aca="false">C314*underwriting!C15/12</f>
        <v>1371.85597908311</v>
      </c>
      <c r="F314" s="8" t="n">
        <f aca="false">D314-E314</f>
        <v>3717.70810903764</v>
      </c>
      <c r="G314" s="8" t="n">
        <f aca="false">C314-F314</f>
        <v>231457.602590924</v>
      </c>
      <c r="H314" s="8" t="n">
        <f aca="false">H313+F314</f>
        <v>533542.397409076</v>
      </c>
    </row>
    <row r="315" customFormat="false" ht="15" hidden="false" customHeight="false" outlineLevel="0" collapsed="false">
      <c r="B315" s="40" t="n">
        <v>308</v>
      </c>
      <c r="C315" s="8" t="n">
        <f aca="false">G314</f>
        <v>231457.602590924</v>
      </c>
      <c r="D315" s="8" t="n">
        <f aca="false">underwriting!D20</f>
        <v>5089.56408812075</v>
      </c>
      <c r="E315" s="8" t="n">
        <f aca="false">C315*underwriting!C15/12</f>
        <v>1350.16934844706</v>
      </c>
      <c r="F315" s="8" t="n">
        <f aca="false">D315-E315</f>
        <v>3739.39473967369</v>
      </c>
      <c r="G315" s="8" t="n">
        <f aca="false">C315-F315</f>
        <v>227718.20785125</v>
      </c>
      <c r="H315" s="8" t="n">
        <f aca="false">H314+F315</f>
        <v>537281.79214875</v>
      </c>
    </row>
    <row r="316" customFormat="false" ht="15" hidden="false" customHeight="false" outlineLevel="0" collapsed="false">
      <c r="B316" s="40" t="n">
        <v>309</v>
      </c>
      <c r="C316" s="8" t="n">
        <f aca="false">G315</f>
        <v>227718.20785125</v>
      </c>
      <c r="D316" s="8" t="n">
        <f aca="false">underwriting!D20</f>
        <v>5089.56408812075</v>
      </c>
      <c r="E316" s="8" t="n">
        <f aca="false">C316*underwriting!C15/12</f>
        <v>1328.35621246563</v>
      </c>
      <c r="F316" s="8" t="n">
        <f aca="false">D316-E316</f>
        <v>3761.20787565512</v>
      </c>
      <c r="G316" s="8" t="n">
        <f aca="false">C316-F316</f>
        <v>223956.999975595</v>
      </c>
      <c r="H316" s="8" t="n">
        <f aca="false">H315+F316</f>
        <v>541043.000024405</v>
      </c>
    </row>
    <row r="317" customFormat="false" ht="15" hidden="false" customHeight="false" outlineLevel="0" collapsed="false">
      <c r="B317" s="40" t="n">
        <v>310</v>
      </c>
      <c r="C317" s="8" t="n">
        <f aca="false">G316</f>
        <v>223956.999975595</v>
      </c>
      <c r="D317" s="8" t="n">
        <f aca="false">underwriting!D20</f>
        <v>5089.56408812075</v>
      </c>
      <c r="E317" s="8" t="n">
        <f aca="false">C317*underwriting!C15/12</f>
        <v>1306.41583319097</v>
      </c>
      <c r="F317" s="8" t="n">
        <f aca="false">D317-E317</f>
        <v>3783.14825492977</v>
      </c>
      <c r="G317" s="8" t="n">
        <f aca="false">C317-F317</f>
        <v>220173.851720665</v>
      </c>
      <c r="H317" s="8" t="n">
        <f aca="false">H316+F317</f>
        <v>544826.148279335</v>
      </c>
    </row>
    <row r="318" customFormat="false" ht="15" hidden="false" customHeight="false" outlineLevel="0" collapsed="false">
      <c r="B318" s="40" t="n">
        <v>311</v>
      </c>
      <c r="C318" s="8" t="n">
        <f aca="false">G317</f>
        <v>220173.851720665</v>
      </c>
      <c r="D318" s="8" t="n">
        <f aca="false">underwriting!D20</f>
        <v>5089.56408812075</v>
      </c>
      <c r="E318" s="8" t="n">
        <f aca="false">C318*underwriting!C15/12</f>
        <v>1284.34746837055</v>
      </c>
      <c r="F318" s="8" t="n">
        <f aca="false">D318-E318</f>
        <v>3805.2166197502</v>
      </c>
      <c r="G318" s="8" t="n">
        <f aca="false">C318-F318</f>
        <v>216368.635100915</v>
      </c>
      <c r="H318" s="8" t="n">
        <f aca="false">H317+F318</f>
        <v>548631.364899085</v>
      </c>
    </row>
    <row r="319" customFormat="false" ht="15" hidden="false" customHeight="false" outlineLevel="0" collapsed="false">
      <c r="B319" s="40" t="n">
        <v>312</v>
      </c>
      <c r="C319" s="8" t="n">
        <f aca="false">G318</f>
        <v>216368.635100915</v>
      </c>
      <c r="D319" s="8" t="n">
        <f aca="false">underwriting!D20</f>
        <v>5089.56408812075</v>
      </c>
      <c r="E319" s="8" t="n">
        <f aca="false">C319*underwriting!C15/12</f>
        <v>1262.150371422</v>
      </c>
      <c r="F319" s="8" t="n">
        <f aca="false">D319-E319</f>
        <v>3827.41371669874</v>
      </c>
      <c r="G319" s="8" t="n">
        <f aca="false">C319-F319</f>
        <v>212541.221384216</v>
      </c>
      <c r="H319" s="8" t="n">
        <f aca="false">H318+F319</f>
        <v>552458.778615784</v>
      </c>
    </row>
    <row r="320" customFormat="false" ht="15" hidden="false" customHeight="false" outlineLevel="0" collapsed="false">
      <c r="B320" s="40" t="n">
        <v>313</v>
      </c>
      <c r="C320" s="8" t="n">
        <f aca="false">G319</f>
        <v>212541.221384216</v>
      </c>
      <c r="D320" s="8" t="n">
        <f aca="false">underwriting!D20</f>
        <v>5089.56408812075</v>
      </c>
      <c r="E320" s="8" t="n">
        <f aca="false">C320*underwriting!C15/12</f>
        <v>1239.82379140793</v>
      </c>
      <c r="F320" s="8" t="n">
        <f aca="false">D320-E320</f>
        <v>3849.74029671282</v>
      </c>
      <c r="G320" s="8" t="n">
        <f aca="false">C320-F320</f>
        <v>208691.481087503</v>
      </c>
      <c r="H320" s="8" t="n">
        <f aca="false">H319+F320</f>
        <v>556308.518912497</v>
      </c>
    </row>
    <row r="321" customFormat="false" ht="15" hidden="false" customHeight="false" outlineLevel="0" collapsed="false">
      <c r="B321" s="40" t="n">
        <v>314</v>
      </c>
      <c r="C321" s="8" t="n">
        <f aca="false">G320</f>
        <v>208691.481087503</v>
      </c>
      <c r="D321" s="8" t="n">
        <f aca="false">underwriting!D20</f>
        <v>5089.56408812075</v>
      </c>
      <c r="E321" s="8" t="n">
        <f aca="false">C321*underwriting!C15/12</f>
        <v>1217.36697301044</v>
      </c>
      <c r="F321" s="8" t="n">
        <f aca="false">D321-E321</f>
        <v>3872.19711511031</v>
      </c>
      <c r="G321" s="8" t="n">
        <f aca="false">C321-F321</f>
        <v>204819.283972393</v>
      </c>
      <c r="H321" s="8" t="n">
        <f aca="false">H320+F321</f>
        <v>560180.716027607</v>
      </c>
    </row>
    <row r="322" customFormat="false" ht="15" hidden="false" customHeight="false" outlineLevel="0" collapsed="false">
      <c r="B322" s="40" t="n">
        <v>315</v>
      </c>
      <c r="C322" s="8" t="n">
        <f aca="false">G321</f>
        <v>204819.283972393</v>
      </c>
      <c r="D322" s="8" t="n">
        <f aca="false">underwriting!D20</f>
        <v>5089.56408812075</v>
      </c>
      <c r="E322" s="8" t="n">
        <f aca="false">C322*underwriting!C15/12</f>
        <v>1194.77915650563</v>
      </c>
      <c r="F322" s="8" t="n">
        <f aca="false">D322-E322</f>
        <v>3894.78493161512</v>
      </c>
      <c r="G322" s="8" t="n">
        <f aca="false">C322-F322</f>
        <v>200924.499040778</v>
      </c>
      <c r="H322" s="8" t="n">
        <f aca="false">H321+F322</f>
        <v>564075.500959222</v>
      </c>
    </row>
    <row r="323" customFormat="false" ht="15" hidden="false" customHeight="false" outlineLevel="0" collapsed="false">
      <c r="B323" s="40" t="n">
        <v>316</v>
      </c>
      <c r="C323" s="8" t="n">
        <f aca="false">G322</f>
        <v>200924.499040778</v>
      </c>
      <c r="D323" s="8" t="n">
        <f aca="false">underwriting!D20</f>
        <v>5089.56408812075</v>
      </c>
      <c r="E323" s="8" t="n">
        <f aca="false">C323*underwriting!C15/12</f>
        <v>1172.05957773787</v>
      </c>
      <c r="F323" s="8" t="n">
        <f aca="false">D323-E323</f>
        <v>3917.50451038287</v>
      </c>
      <c r="G323" s="8" t="n">
        <f aca="false">C323-F323</f>
        <v>197006.994530395</v>
      </c>
      <c r="H323" s="8" t="n">
        <f aca="false">H322+F323</f>
        <v>567993.005469605</v>
      </c>
    </row>
    <row r="324" customFormat="false" ht="15" hidden="false" customHeight="false" outlineLevel="0" collapsed="false">
      <c r="B324" s="40" t="n">
        <v>317</v>
      </c>
      <c r="C324" s="8" t="n">
        <f aca="false">G323</f>
        <v>197006.994530395</v>
      </c>
      <c r="D324" s="8" t="n">
        <f aca="false">underwriting!D20</f>
        <v>5089.56408812075</v>
      </c>
      <c r="E324" s="8" t="n">
        <f aca="false">C324*underwriting!C15/12</f>
        <v>1149.20746809397</v>
      </c>
      <c r="F324" s="8" t="n">
        <f aca="false">D324-E324</f>
        <v>3940.35662002677</v>
      </c>
      <c r="G324" s="8" t="n">
        <f aca="false">C324-F324</f>
        <v>193066.637910368</v>
      </c>
      <c r="H324" s="8" t="n">
        <f aca="false">H323+F324</f>
        <v>571933.362089632</v>
      </c>
    </row>
    <row r="325" customFormat="false" ht="15" hidden="false" customHeight="false" outlineLevel="0" collapsed="false">
      <c r="B325" s="40" t="n">
        <v>318</v>
      </c>
      <c r="C325" s="8" t="n">
        <f aca="false">G324</f>
        <v>193066.637910368</v>
      </c>
      <c r="D325" s="8" t="n">
        <f aca="false">underwriting!D20</f>
        <v>5089.56408812075</v>
      </c>
      <c r="E325" s="8" t="n">
        <f aca="false">C325*underwriting!C15/12</f>
        <v>1126.22205447715</v>
      </c>
      <c r="F325" s="8" t="n">
        <f aca="false">D325-E325</f>
        <v>3963.3420336436</v>
      </c>
      <c r="G325" s="8" t="n">
        <f aca="false">C325-F325</f>
        <v>189103.295876725</v>
      </c>
      <c r="H325" s="8" t="n">
        <f aca="false">H324+F325</f>
        <v>575896.704123276</v>
      </c>
    </row>
    <row r="326" customFormat="false" ht="15" hidden="false" customHeight="false" outlineLevel="0" collapsed="false">
      <c r="B326" s="40" t="n">
        <v>319</v>
      </c>
      <c r="C326" s="8" t="n">
        <f aca="false">G325</f>
        <v>189103.295876725</v>
      </c>
      <c r="D326" s="8" t="n">
        <f aca="false">underwriting!D20</f>
        <v>5089.56408812075</v>
      </c>
      <c r="E326" s="8" t="n">
        <f aca="false">C326*underwriting!C15/12</f>
        <v>1103.10255928089</v>
      </c>
      <c r="F326" s="8" t="n">
        <f aca="false">D326-E326</f>
        <v>3986.46152883985</v>
      </c>
      <c r="G326" s="8" t="n">
        <f aca="false">C326-F326</f>
        <v>185116.834347885</v>
      </c>
      <c r="H326" s="8" t="n">
        <f aca="false">H325+F326</f>
        <v>579883.165652115</v>
      </c>
    </row>
    <row r="327" customFormat="false" ht="15" hidden="false" customHeight="false" outlineLevel="0" collapsed="false">
      <c r="B327" s="40" t="n">
        <v>320</v>
      </c>
      <c r="C327" s="8" t="n">
        <f aca="false">G326</f>
        <v>185116.834347885</v>
      </c>
      <c r="D327" s="8" t="n">
        <f aca="false">underwriting!D20</f>
        <v>5089.56408812075</v>
      </c>
      <c r="E327" s="8" t="n">
        <f aca="false">C327*underwriting!C15/12</f>
        <v>1079.84820036266</v>
      </c>
      <c r="F327" s="8" t="n">
        <f aca="false">D327-E327</f>
        <v>4009.71588775808</v>
      </c>
      <c r="G327" s="8" t="n">
        <f aca="false">C327-F327</f>
        <v>181107.118460127</v>
      </c>
      <c r="H327" s="8" t="n">
        <f aca="false">H326+F327</f>
        <v>583892.881539873</v>
      </c>
    </row>
    <row r="328" customFormat="false" ht="15" hidden="false" customHeight="false" outlineLevel="0" collapsed="false">
      <c r="B328" s="40" t="n">
        <v>321</v>
      </c>
      <c r="C328" s="8" t="n">
        <f aca="false">G327</f>
        <v>181107.118460127</v>
      </c>
      <c r="D328" s="8" t="n">
        <f aca="false">underwriting!D20</f>
        <v>5089.56408812075</v>
      </c>
      <c r="E328" s="8" t="n">
        <f aca="false">C328*underwriting!C15/12</f>
        <v>1056.45819101741</v>
      </c>
      <c r="F328" s="8" t="n">
        <f aca="false">D328-E328</f>
        <v>4033.10589710334</v>
      </c>
      <c r="G328" s="8" t="n">
        <f aca="false">C328-F328</f>
        <v>177074.012563023</v>
      </c>
      <c r="H328" s="8" t="n">
        <f aca="false">H327+F328</f>
        <v>587925.987436977</v>
      </c>
    </row>
    <row r="329" customFormat="false" ht="15" hidden="false" customHeight="false" outlineLevel="0" collapsed="false">
      <c r="B329" s="40" t="n">
        <v>322</v>
      </c>
      <c r="C329" s="8" t="n">
        <f aca="false">G328</f>
        <v>177074.012563023</v>
      </c>
      <c r="D329" s="8" t="n">
        <f aca="false">underwriting!D20</f>
        <v>5089.56408812075</v>
      </c>
      <c r="E329" s="8" t="n">
        <f aca="false">C329*underwriting!C15/12</f>
        <v>1032.93173995097</v>
      </c>
      <c r="F329" s="8" t="n">
        <f aca="false">D329-E329</f>
        <v>4056.63234816977</v>
      </c>
      <c r="G329" s="8" t="n">
        <f aca="false">C329-F329</f>
        <v>173017.380214854</v>
      </c>
      <c r="H329" s="8" t="n">
        <f aca="false">H328+F329</f>
        <v>591982.619785147</v>
      </c>
    </row>
    <row r="330" customFormat="false" ht="15" hidden="false" customHeight="false" outlineLevel="0" collapsed="false">
      <c r="B330" s="40" t="n">
        <v>323</v>
      </c>
      <c r="C330" s="8" t="n">
        <f aca="false">G329</f>
        <v>173017.380214854</v>
      </c>
      <c r="D330" s="8" t="n">
        <f aca="false">underwriting!D20</f>
        <v>5089.56408812075</v>
      </c>
      <c r="E330" s="8" t="n">
        <f aca="false">C330*underwriting!C15/12</f>
        <v>1009.26805125331</v>
      </c>
      <c r="F330" s="8" t="n">
        <f aca="false">D330-E330</f>
        <v>4080.29603686743</v>
      </c>
      <c r="G330" s="8" t="n">
        <f aca="false">C330-F330</f>
        <v>168937.084177986</v>
      </c>
      <c r="H330" s="8" t="n">
        <f aca="false">H329+F330</f>
        <v>596062.915822014</v>
      </c>
    </row>
    <row r="331" customFormat="false" ht="15" hidden="false" customHeight="false" outlineLevel="0" collapsed="false">
      <c r="B331" s="40" t="n">
        <v>324</v>
      </c>
      <c r="C331" s="8" t="n">
        <f aca="false">G330</f>
        <v>168937.084177986</v>
      </c>
      <c r="D331" s="8" t="n">
        <f aca="false">underwriting!D20</f>
        <v>5089.56408812075</v>
      </c>
      <c r="E331" s="8" t="n">
        <f aca="false">C331*underwriting!C15/12</f>
        <v>985.466324371586</v>
      </c>
      <c r="F331" s="8" t="n">
        <f aca="false">D331-E331</f>
        <v>4104.09776374916</v>
      </c>
      <c r="G331" s="8" t="n">
        <f aca="false">C331-F331</f>
        <v>164832.986414237</v>
      </c>
      <c r="H331" s="8" t="n">
        <f aca="false">H330+F331</f>
        <v>600167.013585763</v>
      </c>
    </row>
    <row r="332" customFormat="false" ht="15" hidden="false" customHeight="false" outlineLevel="0" collapsed="false">
      <c r="B332" s="40" t="n">
        <v>325</v>
      </c>
      <c r="C332" s="8" t="n">
        <f aca="false">G331</f>
        <v>164832.986414237</v>
      </c>
      <c r="D332" s="8" t="n">
        <f aca="false">underwriting!D20</f>
        <v>5089.56408812075</v>
      </c>
      <c r="E332" s="8" t="n">
        <f aca="false">C332*underwriting!C15/12</f>
        <v>961.52575408305</v>
      </c>
      <c r="F332" s="8" t="n">
        <f aca="false">D332-E332</f>
        <v>4128.0383340377</v>
      </c>
      <c r="G332" s="8" t="n">
        <f aca="false">C332-F332</f>
        <v>160704.948080199</v>
      </c>
      <c r="H332" s="8" t="n">
        <f aca="false">H331+F332</f>
        <v>604295.051919801</v>
      </c>
    </row>
    <row r="333" customFormat="false" ht="15" hidden="false" customHeight="false" outlineLevel="0" collapsed="false">
      <c r="B333" s="40" t="n">
        <v>326</v>
      </c>
      <c r="C333" s="8" t="n">
        <f aca="false">G332</f>
        <v>160704.948080199</v>
      </c>
      <c r="D333" s="8" t="n">
        <f aca="false">underwriting!D20</f>
        <v>5089.56408812075</v>
      </c>
      <c r="E333" s="8" t="n">
        <f aca="false">C333*underwriting!C15/12</f>
        <v>937.44553046783</v>
      </c>
      <c r="F333" s="8" t="n">
        <f aca="false">D333-E333</f>
        <v>4152.11855765292</v>
      </c>
      <c r="G333" s="8" t="n">
        <f aca="false">C333-F333</f>
        <v>156552.829522546</v>
      </c>
      <c r="H333" s="8" t="n">
        <f aca="false">H332+F333</f>
        <v>608447.170477454</v>
      </c>
    </row>
    <row r="334" customFormat="false" ht="15" hidden="false" customHeight="false" outlineLevel="0" collapsed="false">
      <c r="B334" s="40" t="n">
        <v>327</v>
      </c>
      <c r="C334" s="8" t="n">
        <f aca="false">G333</f>
        <v>156552.829522546</v>
      </c>
      <c r="D334" s="8" t="n">
        <f aca="false">underwriting!D20</f>
        <v>5089.56408812075</v>
      </c>
      <c r="E334" s="8" t="n">
        <f aca="false">C334*underwriting!C15/12</f>
        <v>913.224838881521</v>
      </c>
      <c r="F334" s="8" t="n">
        <f aca="false">D334-E334</f>
        <v>4176.33924923922</v>
      </c>
      <c r="G334" s="8" t="n">
        <f aca="false">C334-F334</f>
        <v>152376.490273307</v>
      </c>
      <c r="H334" s="8" t="n">
        <f aca="false">H333+F334</f>
        <v>612623.509726693</v>
      </c>
    </row>
    <row r="335" customFormat="false" ht="15" hidden="false" customHeight="false" outlineLevel="0" collapsed="false">
      <c r="B335" s="40" t="n">
        <v>328</v>
      </c>
      <c r="C335" s="8" t="n">
        <f aca="false">G334</f>
        <v>152376.490273307</v>
      </c>
      <c r="D335" s="8" t="n">
        <f aca="false">underwriting!D20</f>
        <v>5089.56408812075</v>
      </c>
      <c r="E335" s="8" t="n">
        <f aca="false">C335*underwriting!C15/12</f>
        <v>888.862859927626</v>
      </c>
      <c r="F335" s="8" t="n">
        <f aca="false">D335-E335</f>
        <v>4200.70122819312</v>
      </c>
      <c r="G335" s="8" t="n">
        <f aca="false">C335-F335</f>
        <v>148175.789045114</v>
      </c>
      <c r="H335" s="8" t="n">
        <f aca="false">H334+F335</f>
        <v>616824.210954886</v>
      </c>
    </row>
    <row r="336" customFormat="false" ht="15" hidden="false" customHeight="false" outlineLevel="0" collapsed="false">
      <c r="B336" s="40" t="n">
        <v>329</v>
      </c>
      <c r="C336" s="8" t="n">
        <f aca="false">G335</f>
        <v>148175.789045114</v>
      </c>
      <c r="D336" s="8" t="n">
        <f aca="false">underwriting!D20</f>
        <v>5089.56408812075</v>
      </c>
      <c r="E336" s="8" t="n">
        <f aca="false">C336*underwriting!C15/12</f>
        <v>864.358769429832</v>
      </c>
      <c r="F336" s="8" t="n">
        <f aca="false">D336-E336</f>
        <v>4225.20531869091</v>
      </c>
      <c r="G336" s="8" t="n">
        <f aca="false">C336-F336</f>
        <v>143950.583726423</v>
      </c>
      <c r="H336" s="8" t="n">
        <f aca="false">H335+F336</f>
        <v>621049.416273577</v>
      </c>
    </row>
    <row r="337" customFormat="false" ht="15" hidden="false" customHeight="false" outlineLevel="0" collapsed="false">
      <c r="B337" s="40" t="n">
        <v>330</v>
      </c>
      <c r="C337" s="8" t="n">
        <f aca="false">G336</f>
        <v>143950.583726423</v>
      </c>
      <c r="D337" s="8" t="n">
        <f aca="false">underwriting!D20</f>
        <v>5089.56408812075</v>
      </c>
      <c r="E337" s="8" t="n">
        <f aca="false">C337*underwriting!C15/12</f>
        <v>839.711738404135</v>
      </c>
      <c r="F337" s="8" t="n">
        <f aca="false">D337-E337</f>
        <v>4249.85234971661</v>
      </c>
      <c r="G337" s="8" t="n">
        <f aca="false">C337-F337</f>
        <v>139700.731376707</v>
      </c>
      <c r="H337" s="8" t="n">
        <f aca="false">H336+F337</f>
        <v>625299.268623294</v>
      </c>
    </row>
    <row r="338" customFormat="false" ht="15" hidden="false" customHeight="false" outlineLevel="0" collapsed="false">
      <c r="B338" s="40" t="n">
        <v>331</v>
      </c>
      <c r="C338" s="8" t="n">
        <f aca="false">G337</f>
        <v>139700.731376707</v>
      </c>
      <c r="D338" s="8" t="n">
        <f aca="false">underwriting!D20</f>
        <v>5089.56408812075</v>
      </c>
      <c r="E338" s="8" t="n">
        <f aca="false">C338*underwriting!C15/12</f>
        <v>814.920933030788</v>
      </c>
      <c r="F338" s="8" t="n">
        <f aca="false">D338-E338</f>
        <v>4274.64315508996</v>
      </c>
      <c r="G338" s="8" t="n">
        <f aca="false">C338-F338</f>
        <v>135426.088221617</v>
      </c>
      <c r="H338" s="8" t="n">
        <f aca="false">H337+F338</f>
        <v>629573.911778383</v>
      </c>
    </row>
    <row r="339" customFormat="false" ht="15" hidden="false" customHeight="false" outlineLevel="0" collapsed="false">
      <c r="B339" s="40" t="n">
        <v>332</v>
      </c>
      <c r="C339" s="8" t="n">
        <f aca="false">G338</f>
        <v>135426.088221617</v>
      </c>
      <c r="D339" s="8" t="n">
        <f aca="false">underwriting!D20</f>
        <v>5089.56408812075</v>
      </c>
      <c r="E339" s="8" t="n">
        <f aca="false">C339*underwriting!C15/12</f>
        <v>789.985514626097</v>
      </c>
      <c r="F339" s="8" t="n">
        <f aca="false">D339-E339</f>
        <v>4299.57857349465</v>
      </c>
      <c r="G339" s="8" t="n">
        <f aca="false">C339-F339</f>
        <v>131126.509648122</v>
      </c>
      <c r="H339" s="8" t="n">
        <f aca="false">H338+F339</f>
        <v>633873.490351878</v>
      </c>
    </row>
    <row r="340" customFormat="false" ht="15" hidden="false" customHeight="false" outlineLevel="0" collapsed="false">
      <c r="B340" s="40" t="n">
        <v>333</v>
      </c>
      <c r="C340" s="8" t="n">
        <f aca="false">G339</f>
        <v>131126.509648122</v>
      </c>
      <c r="D340" s="8" t="n">
        <f aca="false">underwriting!D20</f>
        <v>5089.56408812075</v>
      </c>
      <c r="E340" s="8" t="n">
        <f aca="false">C340*underwriting!C15/12</f>
        <v>764.904639614045</v>
      </c>
      <c r="F340" s="8" t="n">
        <f aca="false">D340-E340</f>
        <v>4324.6594485067</v>
      </c>
      <c r="G340" s="8" t="n">
        <f aca="false">C340-F340</f>
        <v>126801.850199615</v>
      </c>
      <c r="H340" s="8" t="n">
        <f aca="false">H339+F340</f>
        <v>638198.149800385</v>
      </c>
    </row>
    <row r="341" customFormat="false" ht="15" hidden="false" customHeight="false" outlineLevel="0" collapsed="false">
      <c r="B341" s="40" t="n">
        <v>334</v>
      </c>
      <c r="C341" s="8" t="n">
        <f aca="false">G340</f>
        <v>126801.850199615</v>
      </c>
      <c r="D341" s="8" t="n">
        <f aca="false">underwriting!D20</f>
        <v>5089.56408812075</v>
      </c>
      <c r="E341" s="8" t="n">
        <f aca="false">C341*underwriting!C15/12</f>
        <v>739.677459497756</v>
      </c>
      <c r="F341" s="8" t="n">
        <f aca="false">D341-E341</f>
        <v>4349.88662862299</v>
      </c>
      <c r="G341" s="8" t="n">
        <f aca="false">C341-F341</f>
        <v>122451.963570992</v>
      </c>
      <c r="H341" s="8" t="n">
        <f aca="false">H340+F341</f>
        <v>642548.036429008</v>
      </c>
    </row>
    <row r="342" customFormat="false" ht="15" hidden="false" customHeight="false" outlineLevel="0" collapsed="false">
      <c r="B342" s="40" t="n">
        <v>335</v>
      </c>
      <c r="C342" s="8" t="n">
        <f aca="false">G341</f>
        <v>122451.963570992</v>
      </c>
      <c r="D342" s="8" t="n">
        <f aca="false">underwriting!D20</f>
        <v>5089.56408812075</v>
      </c>
      <c r="E342" s="8" t="n">
        <f aca="false">C342*underwriting!C15/12</f>
        <v>714.303120830788</v>
      </c>
      <c r="F342" s="8" t="n">
        <f aca="false">D342-E342</f>
        <v>4375.26096728996</v>
      </c>
      <c r="G342" s="8" t="n">
        <f aca="false">C342-F342</f>
        <v>118076.702603702</v>
      </c>
      <c r="H342" s="8" t="n">
        <f aca="false">H341+F342</f>
        <v>646923.297396298</v>
      </c>
    </row>
    <row r="343" customFormat="false" ht="15" hidden="false" customHeight="false" outlineLevel="0" collapsed="false">
      <c r="B343" s="40" t="n">
        <v>336</v>
      </c>
      <c r="C343" s="8" t="n">
        <f aca="false">G342</f>
        <v>118076.702603702</v>
      </c>
      <c r="D343" s="8" t="n">
        <f aca="false">underwriting!D20</f>
        <v>5089.56408812075</v>
      </c>
      <c r="E343" s="8" t="n">
        <f aca="false">C343*underwriting!C15/12</f>
        <v>688.780765188264</v>
      </c>
      <c r="F343" s="8" t="n">
        <f aca="false">D343-E343</f>
        <v>4400.78332293248</v>
      </c>
      <c r="G343" s="8" t="n">
        <f aca="false">C343-F343</f>
        <v>113675.91928077</v>
      </c>
      <c r="H343" s="8" t="n">
        <f aca="false">H342+F343</f>
        <v>651324.08071923</v>
      </c>
    </row>
    <row r="344" customFormat="false" ht="15" hidden="false" customHeight="false" outlineLevel="0" collapsed="false">
      <c r="B344" s="40" t="n">
        <v>337</v>
      </c>
      <c r="C344" s="8" t="n">
        <f aca="false">G343</f>
        <v>113675.91928077</v>
      </c>
      <c r="D344" s="8" t="n">
        <f aca="false">underwriting!D20</f>
        <v>5089.56408812075</v>
      </c>
      <c r="E344" s="8" t="n">
        <f aca="false">C344*underwriting!C15/12</f>
        <v>663.109529137824</v>
      </c>
      <c r="F344" s="8" t="n">
        <f aca="false">D344-E344</f>
        <v>4426.45455898292</v>
      </c>
      <c r="G344" s="8" t="n">
        <f aca="false">C344-F344</f>
        <v>109249.464721787</v>
      </c>
      <c r="H344" s="8" t="n">
        <f aca="false">H343+F344</f>
        <v>655750.535278213</v>
      </c>
    </row>
    <row r="345" customFormat="false" ht="15" hidden="false" customHeight="false" outlineLevel="0" collapsed="false">
      <c r="B345" s="40" t="n">
        <v>338</v>
      </c>
      <c r="C345" s="8" t="n">
        <f aca="false">G344</f>
        <v>109249.464721787</v>
      </c>
      <c r="D345" s="8" t="n">
        <f aca="false">underwriting!D20</f>
        <v>5089.56408812075</v>
      </c>
      <c r="E345" s="8" t="n">
        <f aca="false">C345*underwriting!C15/12</f>
        <v>637.288544210424</v>
      </c>
      <c r="F345" s="8" t="n">
        <f aca="false">D345-E345</f>
        <v>4452.27554391032</v>
      </c>
      <c r="G345" s="8" t="n">
        <f aca="false">C345-F345</f>
        <v>104797.189177877</v>
      </c>
      <c r="H345" s="8" t="n">
        <f aca="false">H344+F345</f>
        <v>660202.810822123</v>
      </c>
    </row>
    <row r="346" customFormat="false" ht="15" hidden="false" customHeight="false" outlineLevel="0" collapsed="false">
      <c r="B346" s="40" t="n">
        <v>339</v>
      </c>
      <c r="C346" s="8" t="n">
        <f aca="false">G345</f>
        <v>104797.189177877</v>
      </c>
      <c r="D346" s="8" t="n">
        <f aca="false">underwriting!D20</f>
        <v>5089.56408812075</v>
      </c>
      <c r="E346" s="8" t="n">
        <f aca="false">C346*underwriting!C15/12</f>
        <v>611.316936870947</v>
      </c>
      <c r="F346" s="8" t="n">
        <f aca="false">D346-E346</f>
        <v>4478.2471512498</v>
      </c>
      <c r="G346" s="8" t="n">
        <f aca="false">C346-F346</f>
        <v>100318.942026627</v>
      </c>
      <c r="H346" s="8" t="n">
        <f aca="false">H345+F346</f>
        <v>664681.057973373</v>
      </c>
    </row>
    <row r="347" customFormat="false" ht="15" hidden="false" customHeight="false" outlineLevel="0" collapsed="false">
      <c r="B347" s="40" t="n">
        <v>340</v>
      </c>
      <c r="C347" s="8" t="n">
        <f aca="false">G346</f>
        <v>100318.942026627</v>
      </c>
      <c r="D347" s="8" t="n">
        <f aca="false">underwriting!D20</f>
        <v>5089.56408812075</v>
      </c>
      <c r="E347" s="8" t="n">
        <f aca="false">C347*underwriting!C15/12</f>
        <v>585.193828488656</v>
      </c>
      <c r="F347" s="8" t="n">
        <f aca="false">D347-E347</f>
        <v>4504.37025963209</v>
      </c>
      <c r="G347" s="8" t="n">
        <f aca="false">C347-F347</f>
        <v>95814.5717669947</v>
      </c>
      <c r="H347" s="8" t="n">
        <f aca="false">H346+F347</f>
        <v>669185.428233005</v>
      </c>
    </row>
    <row r="348" customFormat="false" ht="15" hidden="false" customHeight="false" outlineLevel="0" collapsed="false">
      <c r="B348" s="40" t="n">
        <v>341</v>
      </c>
      <c r="C348" s="8" t="n">
        <f aca="false">G347</f>
        <v>95814.5717669947</v>
      </c>
      <c r="D348" s="8" t="n">
        <f aca="false">underwriting!D20</f>
        <v>5089.56408812075</v>
      </c>
      <c r="E348" s="8" t="n">
        <f aca="false">C348*underwriting!C15/12</f>
        <v>558.918335307469</v>
      </c>
      <c r="F348" s="8" t="n">
        <f aca="false">D348-E348</f>
        <v>4530.64575281328</v>
      </c>
      <c r="G348" s="8" t="n">
        <f aca="false">C348-F348</f>
        <v>91283.9260141814</v>
      </c>
      <c r="H348" s="8" t="n">
        <f aca="false">H347+F348</f>
        <v>673716.073985819</v>
      </c>
    </row>
    <row r="349" customFormat="false" ht="15" hidden="false" customHeight="false" outlineLevel="0" collapsed="false">
      <c r="B349" s="40" t="n">
        <v>342</v>
      </c>
      <c r="C349" s="8" t="n">
        <f aca="false">G348</f>
        <v>91283.9260141814</v>
      </c>
      <c r="D349" s="8" t="n">
        <f aca="false">underwriting!D20</f>
        <v>5089.56408812075</v>
      </c>
      <c r="E349" s="8" t="n">
        <f aca="false">C349*underwriting!C15/12</f>
        <v>532.489568416058</v>
      </c>
      <c r="F349" s="8" t="n">
        <f aca="false">D349-E349</f>
        <v>4557.07451970469</v>
      </c>
      <c r="G349" s="8" t="n">
        <f aca="false">C349-F349</f>
        <v>86726.8514944767</v>
      </c>
      <c r="H349" s="8" t="n">
        <f aca="false">H348+F349</f>
        <v>678273.148505523</v>
      </c>
    </row>
    <row r="350" customFormat="false" ht="15" hidden="false" customHeight="false" outlineLevel="0" collapsed="false">
      <c r="B350" s="40" t="n">
        <v>343</v>
      </c>
      <c r="C350" s="8" t="n">
        <f aca="false">G349</f>
        <v>86726.8514944767</v>
      </c>
      <c r="D350" s="8" t="n">
        <f aca="false">underwriting!D20</f>
        <v>5089.56408812075</v>
      </c>
      <c r="E350" s="8" t="n">
        <f aca="false">C350*underwriting!C15/12</f>
        <v>505.906633717781</v>
      </c>
      <c r="F350" s="8" t="n">
        <f aca="false">D350-E350</f>
        <v>4583.65745440296</v>
      </c>
      <c r="G350" s="8" t="n">
        <f aca="false">C350-F350</f>
        <v>82143.1940400738</v>
      </c>
      <c r="H350" s="8" t="n">
        <f aca="false">H349+F350</f>
        <v>682856.805959926</v>
      </c>
    </row>
    <row r="351" customFormat="false" ht="15" hidden="false" customHeight="false" outlineLevel="0" collapsed="false">
      <c r="B351" s="40" t="n">
        <v>344</v>
      </c>
      <c r="C351" s="8" t="n">
        <f aca="false">G350</f>
        <v>82143.1940400738</v>
      </c>
      <c r="D351" s="8" t="n">
        <f aca="false">underwriting!D20</f>
        <v>5089.56408812075</v>
      </c>
      <c r="E351" s="8" t="n">
        <f aca="false">C351*underwriting!C15/12</f>
        <v>479.16863190043</v>
      </c>
      <c r="F351" s="8" t="n">
        <f aca="false">D351-E351</f>
        <v>4610.39545622031</v>
      </c>
      <c r="G351" s="8" t="n">
        <f aca="false">C351-F351</f>
        <v>77532.7985838535</v>
      </c>
      <c r="H351" s="8" t="n">
        <f aca="false">H350+F351</f>
        <v>687467.201416147</v>
      </c>
    </row>
    <row r="352" customFormat="false" ht="15" hidden="false" customHeight="false" outlineLevel="0" collapsed="false">
      <c r="B352" s="40" t="n">
        <v>345</v>
      </c>
      <c r="C352" s="8" t="n">
        <f aca="false">G351</f>
        <v>77532.7985838535</v>
      </c>
      <c r="D352" s="8" t="n">
        <f aca="false">underwriting!D20</f>
        <v>5089.56408812075</v>
      </c>
      <c r="E352" s="8" t="n">
        <f aca="false">C352*underwriting!C15/12</f>
        <v>452.274658405812</v>
      </c>
      <c r="F352" s="8" t="n">
        <f aca="false">D352-E352</f>
        <v>4637.28942971493</v>
      </c>
      <c r="G352" s="8" t="n">
        <f aca="false">C352-F352</f>
        <v>72895.5091541385</v>
      </c>
      <c r="H352" s="8" t="n">
        <f aca="false">H351+F352</f>
        <v>692104.490845861</v>
      </c>
    </row>
    <row r="353" customFormat="false" ht="15" hidden="false" customHeight="false" outlineLevel="0" collapsed="false">
      <c r="B353" s="40" t="n">
        <v>346</v>
      </c>
      <c r="C353" s="8" t="n">
        <f aca="false">G352</f>
        <v>72895.5091541385</v>
      </c>
      <c r="D353" s="8" t="n">
        <f aca="false">underwriting!D20</f>
        <v>5089.56408812075</v>
      </c>
      <c r="E353" s="8" t="n">
        <f aca="false">C353*underwriting!C15/12</f>
        <v>425.223803399141</v>
      </c>
      <c r="F353" s="8" t="n">
        <f aca="false">D353-E353</f>
        <v>4664.3402847216</v>
      </c>
      <c r="G353" s="8" t="n">
        <f aca="false">C353-F353</f>
        <v>68231.1688694169</v>
      </c>
      <c r="H353" s="8" t="n">
        <f aca="false">H352+F353</f>
        <v>696768.831130583</v>
      </c>
    </row>
    <row r="354" customFormat="false" ht="15" hidden="false" customHeight="false" outlineLevel="0" collapsed="false">
      <c r="B354" s="40" t="n">
        <v>347</v>
      </c>
      <c r="C354" s="8" t="n">
        <f aca="false">G353</f>
        <v>68231.1688694169</v>
      </c>
      <c r="D354" s="8" t="n">
        <f aca="false">underwriting!D20</f>
        <v>5089.56408812075</v>
      </c>
      <c r="E354" s="8" t="n">
        <f aca="false">C354*underwriting!C15/12</f>
        <v>398.015151738265</v>
      </c>
      <c r="F354" s="8" t="n">
        <f aca="false">D354-E354</f>
        <v>4691.54893638248</v>
      </c>
      <c r="G354" s="8" t="n">
        <f aca="false">C354-F354</f>
        <v>63539.6199330344</v>
      </c>
      <c r="H354" s="8" t="n">
        <f aca="false">H353+F354</f>
        <v>701460.380066966</v>
      </c>
    </row>
    <row r="355" customFormat="false" ht="15" hidden="false" customHeight="false" outlineLevel="0" collapsed="false">
      <c r="B355" s="40" t="n">
        <v>348</v>
      </c>
      <c r="C355" s="8" t="n">
        <f aca="false">G354</f>
        <v>63539.6199330344</v>
      </c>
      <c r="D355" s="8" t="n">
        <f aca="false">underwriting!D20</f>
        <v>5089.56408812075</v>
      </c>
      <c r="E355" s="8" t="n">
        <f aca="false">C355*underwriting!C15/12</f>
        <v>370.647782942701</v>
      </c>
      <c r="F355" s="8" t="n">
        <f aca="false">D355-E355</f>
        <v>4718.91630517804</v>
      </c>
      <c r="G355" s="8" t="n">
        <f aca="false">C355-F355</f>
        <v>58820.7036278564</v>
      </c>
      <c r="H355" s="8" t="n">
        <f aca="false">H354+F355</f>
        <v>706179.296372144</v>
      </c>
    </row>
    <row r="356" customFormat="false" ht="15" hidden="false" customHeight="false" outlineLevel="0" collapsed="false">
      <c r="B356" s="40" t="n">
        <v>349</v>
      </c>
      <c r="C356" s="8" t="n">
        <f aca="false">G355</f>
        <v>58820.7036278564</v>
      </c>
      <c r="D356" s="8" t="n">
        <f aca="false">underwriting!D20</f>
        <v>5089.56408812075</v>
      </c>
      <c r="E356" s="8" t="n">
        <f aca="false">C356*underwriting!C15/12</f>
        <v>343.120771162496</v>
      </c>
      <c r="F356" s="8" t="n">
        <f aca="false">D356-E356</f>
        <v>4746.44331695825</v>
      </c>
      <c r="G356" s="8" t="n">
        <f aca="false">C356-F356</f>
        <v>54074.2603108981</v>
      </c>
      <c r="H356" s="8" t="n">
        <f aca="false">H355+F356</f>
        <v>710925.739689102</v>
      </c>
    </row>
    <row r="357" customFormat="false" ht="15" hidden="false" customHeight="false" outlineLevel="0" collapsed="false">
      <c r="B357" s="40" t="n">
        <v>350</v>
      </c>
      <c r="C357" s="8" t="n">
        <f aca="false">G356</f>
        <v>54074.2603108981</v>
      </c>
      <c r="D357" s="8" t="n">
        <f aca="false">underwriting!D20</f>
        <v>5089.56408812075</v>
      </c>
      <c r="E357" s="8" t="n">
        <f aca="false">C357*underwriting!C15/12</f>
        <v>315.433185146906</v>
      </c>
      <c r="F357" s="8" t="n">
        <f aca="false">D357-E357</f>
        <v>4774.13090297384</v>
      </c>
      <c r="G357" s="8" t="n">
        <f aca="false">C357-F357</f>
        <v>49300.1294079243</v>
      </c>
      <c r="H357" s="8" t="n">
        <f aca="false">H356+F357</f>
        <v>715699.870592076</v>
      </c>
    </row>
    <row r="358" customFormat="false" ht="15" hidden="false" customHeight="false" outlineLevel="0" collapsed="false">
      <c r="B358" s="40" t="n">
        <v>351</v>
      </c>
      <c r="C358" s="8" t="n">
        <f aca="false">G357</f>
        <v>49300.1294079243</v>
      </c>
      <c r="D358" s="8" t="n">
        <f aca="false">underwriting!D20</f>
        <v>5089.56408812075</v>
      </c>
      <c r="E358" s="8" t="n">
        <f aca="false">C358*underwriting!C15/12</f>
        <v>287.584088212892</v>
      </c>
      <c r="F358" s="8" t="n">
        <f aca="false">D358-E358</f>
        <v>4801.97999990785</v>
      </c>
      <c r="G358" s="8" t="n">
        <f aca="false">C358-F358</f>
        <v>44498.1494080165</v>
      </c>
      <c r="H358" s="8" t="n">
        <f aca="false">H357+F358</f>
        <v>720501.850591984</v>
      </c>
    </row>
    <row r="359" customFormat="false" ht="15" hidden="false" customHeight="false" outlineLevel="0" collapsed="false">
      <c r="B359" s="40" t="n">
        <v>352</v>
      </c>
      <c r="C359" s="8" t="n">
        <f aca="false">G358</f>
        <v>44498.1494080165</v>
      </c>
      <c r="D359" s="8" t="n">
        <f aca="false">underwriting!D20</f>
        <v>5089.56408812075</v>
      </c>
      <c r="E359" s="8" t="n">
        <f aca="false">C359*underwriting!C15/12</f>
        <v>259.572538213429</v>
      </c>
      <c r="F359" s="8" t="n">
        <f aca="false">D359-E359</f>
        <v>4829.99154990732</v>
      </c>
      <c r="G359" s="8" t="n">
        <f aca="false">C359-F359</f>
        <v>39668.1578581091</v>
      </c>
      <c r="H359" s="8" t="n">
        <f aca="false">H358+F359</f>
        <v>725331.842141891</v>
      </c>
    </row>
    <row r="360" customFormat="false" ht="15" hidden="false" customHeight="false" outlineLevel="0" collapsed="false">
      <c r="B360" s="40" t="n">
        <v>353</v>
      </c>
      <c r="C360" s="8" t="n">
        <f aca="false">G359</f>
        <v>39668.1578581091</v>
      </c>
      <c r="D360" s="8" t="n">
        <f aca="false">underwriting!D20</f>
        <v>5089.56408812075</v>
      </c>
      <c r="E360" s="8" t="n">
        <f aca="false">C360*underwriting!C15/12</f>
        <v>231.397587505637</v>
      </c>
      <c r="F360" s="8" t="n">
        <f aca="false">D360-E360</f>
        <v>4858.16650061511</v>
      </c>
      <c r="G360" s="8" t="n">
        <f aca="false">C360-F360</f>
        <v>34809.991357494</v>
      </c>
      <c r="H360" s="8" t="n">
        <f aca="false">H359+F360</f>
        <v>730190.008642506</v>
      </c>
    </row>
    <row r="361" customFormat="false" ht="15" hidden="false" customHeight="false" outlineLevel="0" collapsed="false">
      <c r="B361" s="40" t="n">
        <v>354</v>
      </c>
      <c r="C361" s="8" t="n">
        <f aca="false">G360</f>
        <v>34809.991357494</v>
      </c>
      <c r="D361" s="8" t="n">
        <f aca="false">underwriting!D20</f>
        <v>5089.56408812075</v>
      </c>
      <c r="E361" s="8" t="n">
        <f aca="false">C361*underwriting!C15/12</f>
        <v>203.058282918715</v>
      </c>
      <c r="F361" s="8" t="n">
        <f aca="false">D361-E361</f>
        <v>4886.50580520203</v>
      </c>
      <c r="G361" s="8" t="n">
        <f aca="false">C361-F361</f>
        <v>29923.485552292</v>
      </c>
      <c r="H361" s="8" t="n">
        <f aca="false">H360+F361</f>
        <v>735076.514447708</v>
      </c>
    </row>
    <row r="362" customFormat="false" ht="15" hidden="false" customHeight="false" outlineLevel="0" collapsed="false">
      <c r="B362" s="40" t="n">
        <v>355</v>
      </c>
      <c r="C362" s="8" t="n">
        <f aca="false">G361</f>
        <v>29923.485552292</v>
      </c>
      <c r="D362" s="8" t="n">
        <f aca="false">underwriting!D20</f>
        <v>5089.56408812075</v>
      </c>
      <c r="E362" s="8" t="n">
        <f aca="false">C362*underwriting!C15/12</f>
        <v>174.553665721703</v>
      </c>
      <c r="F362" s="8" t="n">
        <f aca="false">D362-E362</f>
        <v>4915.01042239904</v>
      </c>
      <c r="G362" s="8" t="n">
        <f aca="false">C362-F362</f>
        <v>25008.475129893</v>
      </c>
      <c r="H362" s="8" t="n">
        <f aca="false">H361+F362</f>
        <v>739991.524870107</v>
      </c>
    </row>
    <row r="363" customFormat="false" ht="15" hidden="false" customHeight="false" outlineLevel="0" collapsed="false">
      <c r="B363" s="40" t="n">
        <v>356</v>
      </c>
      <c r="C363" s="8" t="n">
        <f aca="false">G362</f>
        <v>25008.475129893</v>
      </c>
      <c r="D363" s="8" t="n">
        <f aca="false">underwriting!D20</f>
        <v>5089.56408812075</v>
      </c>
      <c r="E363" s="8" t="n">
        <f aca="false">C363*underwriting!C15/12</f>
        <v>145.882771591042</v>
      </c>
      <c r="F363" s="8" t="n">
        <f aca="false">D363-E363</f>
        <v>4943.6813165297</v>
      </c>
      <c r="G363" s="8" t="n">
        <f aca="false">C363-F363</f>
        <v>20064.7938133633</v>
      </c>
      <c r="H363" s="8" t="n">
        <f aca="false">H362+F363</f>
        <v>744935.206186637</v>
      </c>
    </row>
    <row r="364" customFormat="false" ht="15" hidden="false" customHeight="false" outlineLevel="0" collapsed="false">
      <c r="B364" s="40" t="n">
        <v>357</v>
      </c>
      <c r="C364" s="8" t="n">
        <f aca="false">G363</f>
        <v>20064.7938133633</v>
      </c>
      <c r="D364" s="8" t="n">
        <f aca="false">underwriting!D20</f>
        <v>5089.56408812075</v>
      </c>
      <c r="E364" s="8" t="n">
        <f aca="false">C364*underwriting!C15/12</f>
        <v>117.044630577952</v>
      </c>
      <c r="F364" s="8" t="n">
        <f aca="false">D364-E364</f>
        <v>4972.51945754279</v>
      </c>
      <c r="G364" s="8" t="n">
        <f aca="false">C364-F364</f>
        <v>15092.2743558205</v>
      </c>
      <c r="H364" s="8" t="n">
        <f aca="false">H363+F364</f>
        <v>749907.72564418</v>
      </c>
    </row>
    <row r="365" customFormat="false" ht="15" hidden="false" customHeight="false" outlineLevel="0" collapsed="false">
      <c r="B365" s="40" t="n">
        <v>358</v>
      </c>
      <c r="C365" s="8" t="n">
        <f aca="false">G364</f>
        <v>15092.2743558205</v>
      </c>
      <c r="D365" s="8" t="n">
        <f aca="false">underwriting!D20</f>
        <v>5089.56408812075</v>
      </c>
      <c r="E365" s="8" t="n">
        <f aca="false">C365*underwriting!C15/12</f>
        <v>88.0382670756193</v>
      </c>
      <c r="F365" s="8" t="n">
        <f aca="false">D365-E365</f>
        <v>5001.52582104513</v>
      </c>
      <c r="G365" s="8" t="n">
        <f aca="false">C365-F365</f>
        <v>10090.7485347753</v>
      </c>
      <c r="H365" s="8" t="n">
        <f aca="false">H364+F365</f>
        <v>754909.251465225</v>
      </c>
    </row>
    <row r="366" customFormat="false" ht="15" hidden="false" customHeight="false" outlineLevel="0" collapsed="false">
      <c r="B366" s="40" t="n">
        <v>359</v>
      </c>
      <c r="C366" s="8" t="n">
        <f aca="false">G365</f>
        <v>10090.7485347753</v>
      </c>
      <c r="D366" s="8" t="n">
        <f aca="false">underwriting!D20</f>
        <v>5089.56408812075</v>
      </c>
      <c r="E366" s="8" t="n">
        <f aca="false">C366*underwriting!C15/12</f>
        <v>58.8626997861894</v>
      </c>
      <c r="F366" s="8" t="n">
        <f aca="false">D366-E366</f>
        <v>5030.70138833456</v>
      </c>
      <c r="G366" s="8" t="n">
        <f aca="false">C366-F366</f>
        <v>5060.04714644078</v>
      </c>
      <c r="H366" s="8" t="n">
        <f aca="false">H365+F366</f>
        <v>759939.952853559</v>
      </c>
    </row>
    <row r="367" customFormat="false" ht="15" hidden="false" customHeight="false" outlineLevel="0" collapsed="false">
      <c r="B367" s="40" t="n">
        <v>360</v>
      </c>
      <c r="C367" s="8" t="n">
        <f aca="false">G366</f>
        <v>5060.04714644078</v>
      </c>
      <c r="D367" s="8" t="n">
        <f aca="false">underwriting!D20</f>
        <v>5089.56408812075</v>
      </c>
      <c r="E367" s="8" t="n">
        <f aca="false">C367*underwriting!C15/12</f>
        <v>29.5169416875712</v>
      </c>
      <c r="F367" s="8" t="n">
        <f aca="false">D367-E367</f>
        <v>5060.04714643317</v>
      </c>
      <c r="G367" s="8" t="n">
        <f aca="false">C367-F367</f>
        <v>7.60337570682168E-009</v>
      </c>
      <c r="H367" s="8" t="n">
        <f aca="false">H366+F367</f>
        <v>764999.999999992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2026-03-19T19:55:57Z</dcterms:created>
  <dc:creator>openpyxl</dc:creator>
  <dc:description/>
  <dc:language>en-US</dc:language>
  <cp:lastModifiedBy/>
  <dcterms:modified xsi:type="dcterms:W3CDTF">2026-03-19T19:55:57Z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